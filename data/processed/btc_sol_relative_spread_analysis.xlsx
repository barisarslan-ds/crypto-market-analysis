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ris/Documents/vscode projects/10 - excel/"/>
    </mc:Choice>
  </mc:AlternateContent>
  <xr:revisionPtr revIDLastSave="0" documentId="13_ncr:1_{2C821F54-8FA8-0E43-AADC-450D9E57949F}" xr6:coauthVersionLast="47" xr6:coauthVersionMax="47" xr10:uidLastSave="{00000000-0000-0000-0000-000000000000}"/>
  <bookViews>
    <workbookView xWindow="10280" yWindow="680" windowWidth="19960" windowHeight="17860" activeTab="2" xr2:uid="{809AD729-4B4B-AA42-A36C-572C132E5D86}"/>
  </bookViews>
  <sheets>
    <sheet name="tbl_btc_daily" sheetId="5" r:id="rId1"/>
    <sheet name="tbl_sol_daily" sheetId="7" r:id="rId2"/>
    <sheet name="analysis" sheetId="8" r:id="rId3"/>
  </sheets>
  <definedNames>
    <definedName name="ExternalData_1" localSheetId="0" hidden="1">tbl_btc_daily!$A$1:$K$367</definedName>
    <definedName name="ExternalData_1" localSheetId="1" hidden="1">tbl_sol_daily!$A$1:$K$367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8" l="1"/>
  <c r="M2" i="8" s="1"/>
  <c r="L3" i="8"/>
  <c r="M3" i="8" s="1"/>
  <c r="L4" i="8"/>
  <c r="M4" i="8" s="1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A2" i="8" a="1"/>
  <c r="A2" i="8" s="1"/>
  <c r="B2" i="8" l="1" a="1"/>
  <c r="C2" i="8" a="1"/>
  <c r="C2" i="8" s="1"/>
  <c r="B2" i="8" l="1"/>
  <c r="D2" i="8" a="1"/>
  <c r="D2" i="8" l="1"/>
  <c r="G35" i="8"/>
  <c r="G49" i="8"/>
  <c r="G63" i="8"/>
  <c r="G77" i="8"/>
  <c r="G91" i="8"/>
  <c r="G105" i="8"/>
  <c r="G119" i="8"/>
  <c r="G133" i="8"/>
  <c r="G147" i="8"/>
  <c r="G161" i="8"/>
  <c r="G175" i="8"/>
  <c r="G189" i="8"/>
  <c r="G203" i="8"/>
  <c r="G217" i="8"/>
  <c r="G231" i="8"/>
  <c r="G245" i="8"/>
  <c r="G259" i="8"/>
  <c r="G273" i="8"/>
  <c r="G287" i="8"/>
  <c r="G301" i="8"/>
  <c r="G315" i="8"/>
  <c r="G329" i="8"/>
  <c r="G343" i="8"/>
  <c r="G357" i="8"/>
  <c r="F36" i="8"/>
  <c r="H36" i="8" s="1"/>
  <c r="F50" i="8"/>
  <c r="H50" i="8" s="1"/>
  <c r="F64" i="8"/>
  <c r="H64" i="8" s="1"/>
  <c r="F134" i="8"/>
  <c r="F148" i="8"/>
  <c r="H148" i="8" s="1"/>
  <c r="F162" i="8"/>
  <c r="F218" i="8"/>
  <c r="H218" i="8" s="1"/>
  <c r="F232" i="8"/>
  <c r="H232" i="8" s="1"/>
  <c r="F246" i="8"/>
  <c r="H246" i="8" s="1"/>
  <c r="F260" i="8"/>
  <c r="H260" i="8" s="1"/>
  <c r="G37" i="8"/>
  <c r="G39" i="8"/>
  <c r="G41" i="8"/>
  <c r="G43" i="8"/>
  <c r="G57" i="8"/>
  <c r="G71" i="8"/>
  <c r="G85" i="8"/>
  <c r="G99" i="8"/>
  <c r="G113" i="8"/>
  <c r="G127" i="8"/>
  <c r="G141" i="8"/>
  <c r="G155" i="8"/>
  <c r="G169" i="8"/>
  <c r="G183" i="8"/>
  <c r="G197" i="8"/>
  <c r="G211" i="8"/>
  <c r="G225" i="8"/>
  <c r="G239" i="8"/>
  <c r="G253" i="8"/>
  <c r="G267" i="8"/>
  <c r="G281" i="8"/>
  <c r="G295" i="8"/>
  <c r="G309" i="8"/>
  <c r="G323" i="8"/>
  <c r="G337" i="8"/>
  <c r="G351" i="8"/>
  <c r="G365" i="8"/>
  <c r="F58" i="8"/>
  <c r="H58" i="8" s="1"/>
  <c r="F100" i="8"/>
  <c r="H100" i="8" s="1"/>
  <c r="F114" i="8"/>
  <c r="H114" i="8" s="1"/>
  <c r="F128" i="8"/>
  <c r="H128" i="8" s="1"/>
  <c r="F142" i="8"/>
  <c r="H142" i="8" s="1"/>
  <c r="F226" i="8"/>
  <c r="F254" i="8"/>
  <c r="F268" i="8"/>
  <c r="F296" i="8"/>
  <c r="H296" i="8" s="1"/>
  <c r="F310" i="8"/>
  <c r="H310" i="8" s="1"/>
  <c r="F338" i="8"/>
  <c r="H338" i="8" s="1"/>
  <c r="E360" i="8"/>
  <c r="E346" i="8"/>
  <c r="E332" i="8"/>
  <c r="F332" i="8" s="1"/>
  <c r="H332" i="8" s="1"/>
  <c r="E318" i="8"/>
  <c r="E304" i="8"/>
  <c r="E290" i="8"/>
  <c r="F290" i="8" s="1"/>
  <c r="H290" i="8" s="1"/>
  <c r="E276" i="8"/>
  <c r="E262" i="8"/>
  <c r="E248" i="8"/>
  <c r="F248" i="8" s="1"/>
  <c r="H248" i="8" s="1"/>
  <c r="E234" i="8"/>
  <c r="F234" i="8" s="1"/>
  <c r="H234" i="8" s="1"/>
  <c r="E220" i="8"/>
  <c r="F220" i="8" s="1"/>
  <c r="H220" i="8" s="1"/>
  <c r="E206" i="8"/>
  <c r="F206" i="8" s="1"/>
  <c r="H206" i="8" s="1"/>
  <c r="E192" i="8"/>
  <c r="G44" i="8"/>
  <c r="G51" i="8"/>
  <c r="G67" i="8"/>
  <c r="G83" i="8"/>
  <c r="G100" i="8"/>
  <c r="G116" i="8"/>
  <c r="G132" i="8"/>
  <c r="G149" i="8"/>
  <c r="G165" i="8"/>
  <c r="G181" i="8"/>
  <c r="G198" i="8"/>
  <c r="G214" i="8"/>
  <c r="G230" i="8"/>
  <c r="G247" i="8"/>
  <c r="G263" i="8"/>
  <c r="G279" i="8"/>
  <c r="G296" i="8"/>
  <c r="G312" i="8"/>
  <c r="G328" i="8"/>
  <c r="G345" i="8"/>
  <c r="G361" i="8"/>
  <c r="F91" i="8"/>
  <c r="H91" i="8" s="1"/>
  <c r="F108" i="8"/>
  <c r="H108" i="8" s="1"/>
  <c r="F124" i="8"/>
  <c r="H124" i="8" s="1"/>
  <c r="F238" i="8"/>
  <c r="F255" i="8"/>
  <c r="H255" i="8" s="1"/>
  <c r="F287" i="8"/>
  <c r="H287" i="8" s="1"/>
  <c r="F304" i="8"/>
  <c r="H304" i="8" s="1"/>
  <c r="F320" i="8"/>
  <c r="H320" i="8" s="1"/>
  <c r="F336" i="8"/>
  <c r="H336" i="8" s="1"/>
  <c r="F353" i="8"/>
  <c r="H353" i="8" s="1"/>
  <c r="E356" i="8"/>
  <c r="E341" i="8"/>
  <c r="E326" i="8"/>
  <c r="E311" i="8"/>
  <c r="E296" i="8"/>
  <c r="E281" i="8"/>
  <c r="F281" i="8" s="1"/>
  <c r="H281" i="8" s="1"/>
  <c r="E266" i="8"/>
  <c r="F266" i="8" s="1"/>
  <c r="H266" i="8" s="1"/>
  <c r="E251" i="8"/>
  <c r="F251" i="8" s="1"/>
  <c r="H251" i="8" s="1"/>
  <c r="E236" i="8"/>
  <c r="F236" i="8" s="1"/>
  <c r="H236" i="8" s="1"/>
  <c r="E221" i="8"/>
  <c r="F221" i="8" s="1"/>
  <c r="H221" i="8" s="1"/>
  <c r="E205" i="8"/>
  <c r="F205" i="8" s="1"/>
  <c r="H205" i="8" s="1"/>
  <c r="E190" i="8"/>
  <c r="F190" i="8" s="1"/>
  <c r="H190" i="8" s="1"/>
  <c r="E176" i="8"/>
  <c r="F176" i="8" s="1"/>
  <c r="H176" i="8" s="1"/>
  <c r="E162" i="8"/>
  <c r="E148" i="8"/>
  <c r="E134" i="8"/>
  <c r="E120" i="8"/>
  <c r="F120" i="8" s="1"/>
  <c r="H120" i="8" s="1"/>
  <c r="E106" i="8"/>
  <c r="F106" i="8" s="1"/>
  <c r="H106" i="8" s="1"/>
  <c r="E92" i="8"/>
  <c r="F92" i="8" s="1"/>
  <c r="H92" i="8" s="1"/>
  <c r="E78" i="8"/>
  <c r="F78" i="8" s="1"/>
  <c r="H78" i="8" s="1"/>
  <c r="E64" i="8"/>
  <c r="E50" i="8"/>
  <c r="E36" i="8"/>
  <c r="E310" i="8"/>
  <c r="E265" i="8"/>
  <c r="F265" i="8" s="1"/>
  <c r="H265" i="8" s="1"/>
  <c r="E219" i="8"/>
  <c r="F219" i="8" s="1"/>
  <c r="H219" i="8" s="1"/>
  <c r="E189" i="8"/>
  <c r="F189" i="8" s="1"/>
  <c r="H189" i="8" s="1"/>
  <c r="E161" i="8"/>
  <c r="E133" i="8"/>
  <c r="E119" i="8"/>
  <c r="G52" i="8"/>
  <c r="G68" i="8"/>
  <c r="G84" i="8"/>
  <c r="G101" i="8"/>
  <c r="G117" i="8"/>
  <c r="G134" i="8"/>
  <c r="G150" i="8"/>
  <c r="G166" i="8"/>
  <c r="G182" i="8"/>
  <c r="G199" i="8"/>
  <c r="G215" i="8"/>
  <c r="G232" i="8"/>
  <c r="G248" i="8"/>
  <c r="G264" i="8"/>
  <c r="G280" i="8"/>
  <c r="G297" i="8"/>
  <c r="G313" i="8"/>
  <c r="G330" i="8"/>
  <c r="G346" i="8"/>
  <c r="G362" i="8"/>
  <c r="F43" i="8"/>
  <c r="F60" i="8"/>
  <c r="H60" i="8" s="1"/>
  <c r="F109" i="8"/>
  <c r="H109" i="8" s="1"/>
  <c r="F191" i="8"/>
  <c r="F256" i="8"/>
  <c r="H256" i="8" s="1"/>
  <c r="F272" i="8"/>
  <c r="H272" i="8" s="1"/>
  <c r="F305" i="8"/>
  <c r="F321" i="8"/>
  <c r="H321" i="8" s="1"/>
  <c r="F337" i="8"/>
  <c r="H337" i="8" s="1"/>
  <c r="E355" i="8"/>
  <c r="E340" i="8"/>
  <c r="E325" i="8"/>
  <c r="F325" i="8" s="1"/>
  <c r="H325" i="8" s="1"/>
  <c r="E295" i="8"/>
  <c r="E280" i="8"/>
  <c r="F280" i="8" s="1"/>
  <c r="H280" i="8" s="1"/>
  <c r="E250" i="8"/>
  <c r="F250" i="8" s="1"/>
  <c r="H250" i="8" s="1"/>
  <c r="E235" i="8"/>
  <c r="F235" i="8" s="1"/>
  <c r="H235" i="8" s="1"/>
  <c r="E204" i="8"/>
  <c r="F204" i="8" s="1"/>
  <c r="H204" i="8" s="1"/>
  <c r="E175" i="8"/>
  <c r="E147" i="8"/>
  <c r="F147" i="8" s="1"/>
  <c r="H147" i="8" s="1"/>
  <c r="G53" i="8"/>
  <c r="G69" i="8"/>
  <c r="G86" i="8"/>
  <c r="G102" i="8"/>
  <c r="G118" i="8"/>
  <c r="G135" i="8"/>
  <c r="G151" i="8"/>
  <c r="G167" i="8"/>
  <c r="G184" i="8"/>
  <c r="G200" i="8"/>
  <c r="G216" i="8"/>
  <c r="G233" i="8"/>
  <c r="G249" i="8"/>
  <c r="G265" i="8"/>
  <c r="G282" i="8"/>
  <c r="G298" i="8"/>
  <c r="G314" i="8"/>
  <c r="G331" i="8"/>
  <c r="G347" i="8"/>
  <c r="G363" i="8"/>
  <c r="F61" i="8"/>
  <c r="F126" i="8"/>
  <c r="H126" i="8" s="1"/>
  <c r="F143" i="8"/>
  <c r="H143" i="8" s="1"/>
  <c r="F175" i="8"/>
  <c r="H175" i="8" s="1"/>
  <c r="F192" i="8"/>
  <c r="H192" i="8" s="1"/>
  <c r="F355" i="8"/>
  <c r="H355" i="8" s="1"/>
  <c r="E354" i="8"/>
  <c r="F354" i="8" s="1"/>
  <c r="H354" i="8" s="1"/>
  <c r="E339" i="8"/>
  <c r="F339" i="8" s="1"/>
  <c r="H339" i="8" s="1"/>
  <c r="E324" i="8"/>
  <c r="F324" i="8" s="1"/>
  <c r="H324" i="8" s="1"/>
  <c r="E309" i="8"/>
  <c r="E294" i="8"/>
  <c r="E279" i="8"/>
  <c r="E264" i="8"/>
  <c r="E249" i="8"/>
  <c r="E233" i="8"/>
  <c r="E218" i="8"/>
  <c r="E203" i="8"/>
  <c r="E188" i="8"/>
  <c r="F188" i="8" s="1"/>
  <c r="H188" i="8" s="1"/>
  <c r="E174" i="8"/>
  <c r="F174" i="8" s="1"/>
  <c r="H174" i="8" s="1"/>
  <c r="G33" i="8"/>
  <c r="G54" i="8"/>
  <c r="G74" i="8"/>
  <c r="G94" i="8"/>
  <c r="G114" i="8"/>
  <c r="G137" i="8"/>
  <c r="G157" i="8"/>
  <c r="G177" i="8"/>
  <c r="G196" i="8"/>
  <c r="G220" i="8"/>
  <c r="G240" i="8"/>
  <c r="G260" i="8"/>
  <c r="G283" i="8"/>
  <c r="G303" i="8"/>
  <c r="G322" i="8"/>
  <c r="G342" i="8"/>
  <c r="G366" i="8"/>
  <c r="F51" i="8"/>
  <c r="H51" i="8" s="1"/>
  <c r="F133" i="8"/>
  <c r="F279" i="8"/>
  <c r="H279" i="8" s="1"/>
  <c r="F299" i="8"/>
  <c r="F319" i="8"/>
  <c r="H319" i="8" s="1"/>
  <c r="F342" i="8"/>
  <c r="H342" i="8" s="1"/>
  <c r="E359" i="8"/>
  <c r="E338" i="8"/>
  <c r="E320" i="8"/>
  <c r="E301" i="8"/>
  <c r="F301" i="8" s="1"/>
  <c r="H301" i="8" s="1"/>
  <c r="E283" i="8"/>
  <c r="E261" i="8"/>
  <c r="F261" i="8" s="1"/>
  <c r="H261" i="8" s="1"/>
  <c r="E243" i="8"/>
  <c r="E225" i="8"/>
  <c r="F225" i="8" s="1"/>
  <c r="H225" i="8" s="1"/>
  <c r="E207" i="8"/>
  <c r="F207" i="8" s="1"/>
  <c r="H207" i="8" s="1"/>
  <c r="E185" i="8"/>
  <c r="F185" i="8" s="1"/>
  <c r="H185" i="8" s="1"/>
  <c r="E168" i="8"/>
  <c r="E152" i="8"/>
  <c r="F152" i="8" s="1"/>
  <c r="H152" i="8" s="1"/>
  <c r="E136" i="8"/>
  <c r="F136" i="8" s="1"/>
  <c r="H136" i="8" s="1"/>
  <c r="E118" i="8"/>
  <c r="E103" i="8"/>
  <c r="E88" i="8"/>
  <c r="E73" i="8"/>
  <c r="E58" i="8"/>
  <c r="E43" i="8"/>
  <c r="G78" i="8"/>
  <c r="G180" i="8"/>
  <c r="G223" i="8"/>
  <c r="G286" i="8"/>
  <c r="G349" i="8"/>
  <c r="F97" i="8"/>
  <c r="H97" i="8" s="1"/>
  <c r="F160" i="8"/>
  <c r="H160" i="8" s="1"/>
  <c r="F243" i="8"/>
  <c r="H243" i="8" s="1"/>
  <c r="F346" i="8"/>
  <c r="E298" i="8"/>
  <c r="G55" i="8"/>
  <c r="G75" i="8"/>
  <c r="G95" i="8"/>
  <c r="G115" i="8"/>
  <c r="G138" i="8"/>
  <c r="G158" i="8"/>
  <c r="G178" i="8"/>
  <c r="G201" i="8"/>
  <c r="G221" i="8"/>
  <c r="G241" i="8"/>
  <c r="G261" i="8"/>
  <c r="G284" i="8"/>
  <c r="G304" i="8"/>
  <c r="G324" i="8"/>
  <c r="G344" i="8"/>
  <c r="G367" i="8"/>
  <c r="F52" i="8"/>
  <c r="H52" i="8" s="1"/>
  <c r="F71" i="8"/>
  <c r="F135" i="8"/>
  <c r="H135" i="8" s="1"/>
  <c r="F154" i="8"/>
  <c r="F178" i="8"/>
  <c r="H178" i="8" s="1"/>
  <c r="F197" i="8"/>
  <c r="H197" i="8" s="1"/>
  <c r="F217" i="8"/>
  <c r="H217" i="8" s="1"/>
  <c r="F237" i="8"/>
  <c r="F343" i="8"/>
  <c r="E358" i="8"/>
  <c r="F358" i="8" s="1"/>
  <c r="H358" i="8" s="1"/>
  <c r="E337" i="8"/>
  <c r="E319" i="8"/>
  <c r="E300" i="8"/>
  <c r="F300" i="8" s="1"/>
  <c r="H300" i="8" s="1"/>
  <c r="E282" i="8"/>
  <c r="F282" i="8" s="1"/>
  <c r="H282" i="8" s="1"/>
  <c r="E260" i="8"/>
  <c r="E242" i="8"/>
  <c r="E224" i="8"/>
  <c r="F224" i="8" s="1"/>
  <c r="H224" i="8" s="1"/>
  <c r="E202" i="8"/>
  <c r="E184" i="8"/>
  <c r="F184" i="8" s="1"/>
  <c r="H184" i="8" s="1"/>
  <c r="E167" i="8"/>
  <c r="E151" i="8"/>
  <c r="E135" i="8"/>
  <c r="E117" i="8"/>
  <c r="E102" i="8"/>
  <c r="E87" i="8"/>
  <c r="E72" i="8"/>
  <c r="F72" i="8" s="1"/>
  <c r="H72" i="8" s="1"/>
  <c r="E57" i="8"/>
  <c r="F57" i="8" s="1"/>
  <c r="H57" i="8" s="1"/>
  <c r="E42" i="8"/>
  <c r="F42" i="8" s="1"/>
  <c r="H42" i="8" s="1"/>
  <c r="E317" i="8"/>
  <c r="F317" i="8" s="1"/>
  <c r="H317" i="8" s="1"/>
  <c r="E241" i="8"/>
  <c r="F241" i="8" s="1"/>
  <c r="H241" i="8" s="1"/>
  <c r="E201" i="8"/>
  <c r="F201" i="8" s="1"/>
  <c r="H201" i="8" s="1"/>
  <c r="E183" i="8"/>
  <c r="E150" i="8"/>
  <c r="E132" i="8"/>
  <c r="E101" i="8"/>
  <c r="E71" i="8"/>
  <c r="E41" i="8"/>
  <c r="G97" i="8"/>
  <c r="G140" i="8"/>
  <c r="G204" i="8"/>
  <c r="G266" i="8"/>
  <c r="G306" i="8"/>
  <c r="F137" i="8"/>
  <c r="H137" i="8" s="1"/>
  <c r="F200" i="8"/>
  <c r="H200" i="8" s="1"/>
  <c r="F303" i="8"/>
  <c r="H303" i="8" s="1"/>
  <c r="E335" i="8"/>
  <c r="G56" i="8"/>
  <c r="G76" i="8"/>
  <c r="G96" i="8"/>
  <c r="G120" i="8"/>
  <c r="G139" i="8"/>
  <c r="G159" i="8"/>
  <c r="G179" i="8"/>
  <c r="G202" i="8"/>
  <c r="G222" i="8"/>
  <c r="G242" i="8"/>
  <c r="G262" i="8"/>
  <c r="G285" i="8"/>
  <c r="G305" i="8"/>
  <c r="G325" i="8"/>
  <c r="G348" i="8"/>
  <c r="G32" i="8"/>
  <c r="F73" i="8"/>
  <c r="H73" i="8" s="1"/>
  <c r="F179" i="8"/>
  <c r="H179" i="8" s="1"/>
  <c r="F199" i="8"/>
  <c r="F242" i="8"/>
  <c r="H242" i="8" s="1"/>
  <c r="F262" i="8"/>
  <c r="H262" i="8" s="1"/>
  <c r="F364" i="8"/>
  <c r="E357" i="8"/>
  <c r="F357" i="8" s="1"/>
  <c r="H357" i="8" s="1"/>
  <c r="E336" i="8"/>
  <c r="E299" i="8"/>
  <c r="E278" i="8"/>
  <c r="F278" i="8" s="1"/>
  <c r="H278" i="8" s="1"/>
  <c r="E259" i="8"/>
  <c r="F259" i="8" s="1"/>
  <c r="H259" i="8" s="1"/>
  <c r="E223" i="8"/>
  <c r="F223" i="8" s="1"/>
  <c r="H223" i="8" s="1"/>
  <c r="E166" i="8"/>
  <c r="F166" i="8" s="1"/>
  <c r="H166" i="8" s="1"/>
  <c r="E116" i="8"/>
  <c r="F116" i="8" s="1"/>
  <c r="H116" i="8" s="1"/>
  <c r="E86" i="8"/>
  <c r="F86" i="8" s="1"/>
  <c r="H86" i="8" s="1"/>
  <c r="E56" i="8"/>
  <c r="G58" i="8"/>
  <c r="G121" i="8"/>
  <c r="G160" i="8"/>
  <c r="G243" i="8"/>
  <c r="G326" i="8"/>
  <c r="F117" i="8"/>
  <c r="H117" i="8" s="1"/>
  <c r="F263" i="8"/>
  <c r="H263" i="8" s="1"/>
  <c r="F283" i="8"/>
  <c r="H283" i="8" s="1"/>
  <c r="F326" i="8"/>
  <c r="H326" i="8" s="1"/>
  <c r="F365" i="8"/>
  <c r="H365" i="8" s="1"/>
  <c r="E353" i="8"/>
  <c r="E316" i="8"/>
  <c r="F316" i="8" s="1"/>
  <c r="H316" i="8" s="1"/>
  <c r="E277" i="8"/>
  <c r="E240" i="8"/>
  <c r="F240" i="8" s="1"/>
  <c r="H240" i="8" s="1"/>
  <c r="G36" i="8"/>
  <c r="G60" i="8"/>
  <c r="G80" i="8"/>
  <c r="G103" i="8"/>
  <c r="G123" i="8"/>
  <c r="G143" i="8"/>
  <c r="G163" i="8"/>
  <c r="G186" i="8"/>
  <c r="G206" i="8"/>
  <c r="G226" i="8"/>
  <c r="G246" i="8"/>
  <c r="G269" i="8"/>
  <c r="G289" i="8"/>
  <c r="G308" i="8"/>
  <c r="G332" i="8"/>
  <c r="G352" i="8"/>
  <c r="F56" i="8"/>
  <c r="H56" i="8" s="1"/>
  <c r="F99" i="8"/>
  <c r="H99" i="8" s="1"/>
  <c r="F119" i="8"/>
  <c r="H119" i="8" s="1"/>
  <c r="F163" i="8"/>
  <c r="H163" i="8" s="1"/>
  <c r="F182" i="8"/>
  <c r="H182" i="8" s="1"/>
  <c r="F202" i="8"/>
  <c r="E351" i="8"/>
  <c r="F351" i="8" s="1"/>
  <c r="H351" i="8" s="1"/>
  <c r="E333" i="8"/>
  <c r="F333" i="8" s="1"/>
  <c r="H333" i="8" s="1"/>
  <c r="E314" i="8"/>
  <c r="F314" i="8" s="1"/>
  <c r="H314" i="8" s="1"/>
  <c r="E293" i="8"/>
  <c r="F293" i="8" s="1"/>
  <c r="H293" i="8" s="1"/>
  <c r="E274" i="8"/>
  <c r="F274" i="8" s="1"/>
  <c r="H274" i="8" s="1"/>
  <c r="E256" i="8"/>
  <c r="E238" i="8"/>
  <c r="G42" i="8"/>
  <c r="G73" i="8"/>
  <c r="G108" i="8"/>
  <c r="G142" i="8"/>
  <c r="G172" i="8"/>
  <c r="G207" i="8"/>
  <c r="G236" i="8"/>
  <c r="G271" i="8"/>
  <c r="G300" i="8"/>
  <c r="G335" i="8"/>
  <c r="G364" i="8"/>
  <c r="F63" i="8"/>
  <c r="H63" i="8" s="1"/>
  <c r="F161" i="8"/>
  <c r="F227" i="8"/>
  <c r="H227" i="8" s="1"/>
  <c r="E361" i="8"/>
  <c r="F361" i="8" s="1"/>
  <c r="H361" i="8" s="1"/>
  <c r="E328" i="8"/>
  <c r="F328" i="8" s="1"/>
  <c r="H328" i="8" s="1"/>
  <c r="E297" i="8"/>
  <c r="F297" i="8" s="1"/>
  <c r="H297" i="8" s="1"/>
  <c r="E269" i="8"/>
  <c r="F269" i="8" s="1"/>
  <c r="H269" i="8" s="1"/>
  <c r="E239" i="8"/>
  <c r="F239" i="8" s="1"/>
  <c r="H239" i="8" s="1"/>
  <c r="E213" i="8"/>
  <c r="E191" i="8"/>
  <c r="E165" i="8"/>
  <c r="E144" i="8"/>
  <c r="E125" i="8"/>
  <c r="F125" i="8" s="1"/>
  <c r="H125" i="8" s="1"/>
  <c r="E105" i="8"/>
  <c r="F105" i="8" s="1"/>
  <c r="H105" i="8" s="1"/>
  <c r="E84" i="8"/>
  <c r="F84" i="8" s="1"/>
  <c r="H84" i="8" s="1"/>
  <c r="E66" i="8"/>
  <c r="E47" i="8"/>
  <c r="E46" i="8"/>
  <c r="F46" i="8" s="1"/>
  <c r="H46" i="8" s="1"/>
  <c r="E186" i="8"/>
  <c r="F186" i="8" s="1"/>
  <c r="H186" i="8" s="1"/>
  <c r="G339" i="8"/>
  <c r="F230" i="8"/>
  <c r="E289" i="8"/>
  <c r="F289" i="8" s="1"/>
  <c r="H289" i="8" s="1"/>
  <c r="E182" i="8"/>
  <c r="E99" i="8"/>
  <c r="G112" i="8"/>
  <c r="G276" i="8"/>
  <c r="F103" i="8"/>
  <c r="F295" i="8"/>
  <c r="H295" i="8" s="1"/>
  <c r="E348" i="8"/>
  <c r="F348" i="8" s="1"/>
  <c r="H348" i="8" s="1"/>
  <c r="E258" i="8"/>
  <c r="F258" i="8" s="1"/>
  <c r="H258" i="8" s="1"/>
  <c r="E181" i="8"/>
  <c r="F181" i="8" s="1"/>
  <c r="H181" i="8" s="1"/>
  <c r="E80" i="8"/>
  <c r="F80" i="8" s="1"/>
  <c r="H80" i="8" s="1"/>
  <c r="G153" i="8"/>
  <c r="G278" i="8"/>
  <c r="E255" i="8"/>
  <c r="E179" i="8"/>
  <c r="E96" i="8"/>
  <c r="F96" i="8" s="1"/>
  <c r="H96" i="8" s="1"/>
  <c r="G125" i="8"/>
  <c r="G45" i="8"/>
  <c r="G79" i="8"/>
  <c r="G109" i="8"/>
  <c r="G144" i="8"/>
  <c r="G173" i="8"/>
  <c r="G208" i="8"/>
  <c r="G237" i="8"/>
  <c r="G272" i="8"/>
  <c r="G302" i="8"/>
  <c r="G336" i="8"/>
  <c r="F193" i="8"/>
  <c r="H193" i="8" s="1"/>
  <c r="F228" i="8"/>
  <c r="H228" i="8" s="1"/>
  <c r="F292" i="8"/>
  <c r="H292" i="8" s="1"/>
  <c r="F318" i="8"/>
  <c r="H318" i="8" s="1"/>
  <c r="F356" i="8"/>
  <c r="H356" i="8" s="1"/>
  <c r="E352" i="8"/>
  <c r="F352" i="8" s="1"/>
  <c r="H352" i="8" s="1"/>
  <c r="E327" i="8"/>
  <c r="E292" i="8"/>
  <c r="E268" i="8"/>
  <c r="E237" i="8"/>
  <c r="E212" i="8"/>
  <c r="F212" i="8" s="1"/>
  <c r="H212" i="8" s="1"/>
  <c r="E187" i="8"/>
  <c r="E164" i="8"/>
  <c r="F164" i="8" s="1"/>
  <c r="H164" i="8" s="1"/>
  <c r="E143" i="8"/>
  <c r="E124" i="8"/>
  <c r="E104" i="8"/>
  <c r="F104" i="8" s="1"/>
  <c r="H104" i="8" s="1"/>
  <c r="E83" i="8"/>
  <c r="F83" i="8" s="1"/>
  <c r="H83" i="8" s="1"/>
  <c r="E65" i="8"/>
  <c r="F65" i="8" s="1"/>
  <c r="H65" i="8" s="1"/>
  <c r="E211" i="8"/>
  <c r="F211" i="8" s="1"/>
  <c r="H211" i="8" s="1"/>
  <c r="E142" i="8"/>
  <c r="E123" i="8"/>
  <c r="E100" i="8"/>
  <c r="E63" i="8"/>
  <c r="E45" i="8"/>
  <c r="F45" i="8" s="1"/>
  <c r="H45" i="8" s="1"/>
  <c r="G146" i="8"/>
  <c r="G244" i="8"/>
  <c r="G310" i="8"/>
  <c r="F67" i="8"/>
  <c r="H67" i="8" s="1"/>
  <c r="F131" i="8"/>
  <c r="H131" i="8" s="1"/>
  <c r="F264" i="8"/>
  <c r="H264" i="8" s="1"/>
  <c r="F329" i="8"/>
  <c r="H329" i="8" s="1"/>
  <c r="E322" i="8"/>
  <c r="F322" i="8" s="1"/>
  <c r="H322" i="8" s="1"/>
  <c r="E210" i="8"/>
  <c r="E141" i="8"/>
  <c r="F141" i="8" s="1"/>
  <c r="H141" i="8" s="1"/>
  <c r="E62" i="8"/>
  <c r="G87" i="8"/>
  <c r="G185" i="8"/>
  <c r="G250" i="8"/>
  <c r="G340" i="8"/>
  <c r="F132" i="8"/>
  <c r="H132" i="8" s="1"/>
  <c r="F231" i="8"/>
  <c r="H231" i="8" s="1"/>
  <c r="F360" i="8"/>
  <c r="H360" i="8" s="1"/>
  <c r="E288" i="8"/>
  <c r="F288" i="8" s="1"/>
  <c r="H288" i="8" s="1"/>
  <c r="E230" i="8"/>
  <c r="E159" i="8"/>
  <c r="F159" i="8" s="1"/>
  <c r="H159" i="8" s="1"/>
  <c r="E121" i="8"/>
  <c r="F121" i="8" s="1"/>
  <c r="H121" i="8" s="1"/>
  <c r="E61" i="8"/>
  <c r="G124" i="8"/>
  <c r="G252" i="8"/>
  <c r="F79" i="8"/>
  <c r="E345" i="8"/>
  <c r="F345" i="8" s="1"/>
  <c r="H345" i="8" s="1"/>
  <c r="E228" i="8"/>
  <c r="E157" i="8"/>
  <c r="F157" i="8" s="1"/>
  <c r="H157" i="8" s="1"/>
  <c r="E77" i="8"/>
  <c r="F77" i="8" s="1"/>
  <c r="H77" i="8" s="1"/>
  <c r="G90" i="8"/>
  <c r="G154" i="8"/>
  <c r="G46" i="8"/>
  <c r="G81" i="8"/>
  <c r="G110" i="8"/>
  <c r="G145" i="8"/>
  <c r="G174" i="8"/>
  <c r="G209" i="8"/>
  <c r="G238" i="8"/>
  <c r="G274" i="8"/>
  <c r="G307" i="8"/>
  <c r="G338" i="8"/>
  <c r="F66" i="8"/>
  <c r="F101" i="8"/>
  <c r="H101" i="8" s="1"/>
  <c r="F165" i="8"/>
  <c r="H165" i="8" s="1"/>
  <c r="F194" i="8"/>
  <c r="H194" i="8" s="1"/>
  <c r="F229" i="8"/>
  <c r="H229" i="8" s="1"/>
  <c r="F327" i="8"/>
  <c r="E350" i="8"/>
  <c r="E323" i="8"/>
  <c r="F323" i="8" s="1"/>
  <c r="H323" i="8" s="1"/>
  <c r="E291" i="8"/>
  <c r="F291" i="8" s="1"/>
  <c r="H291" i="8" s="1"/>
  <c r="E267" i="8"/>
  <c r="F267" i="8" s="1"/>
  <c r="H267" i="8" s="1"/>
  <c r="E232" i="8"/>
  <c r="E163" i="8"/>
  <c r="E82" i="8"/>
  <c r="G47" i="8"/>
  <c r="G82" i="8"/>
  <c r="G111" i="8"/>
  <c r="G176" i="8"/>
  <c r="G210" i="8"/>
  <c r="G275" i="8"/>
  <c r="F102" i="8"/>
  <c r="H102" i="8" s="1"/>
  <c r="F294" i="8"/>
  <c r="F359" i="8"/>
  <c r="H359" i="8" s="1"/>
  <c r="E349" i="8"/>
  <c r="E263" i="8"/>
  <c r="E160" i="8"/>
  <c r="E122" i="8"/>
  <c r="F122" i="8" s="1"/>
  <c r="H122" i="8" s="1"/>
  <c r="E81" i="8"/>
  <c r="F81" i="8" s="1"/>
  <c r="H81" i="8" s="1"/>
  <c r="E44" i="8"/>
  <c r="F44" i="8" s="1"/>
  <c r="H44" i="8" s="1"/>
  <c r="G48" i="8"/>
  <c r="G148" i="8"/>
  <c r="G212" i="8"/>
  <c r="G311" i="8"/>
  <c r="F68" i="8"/>
  <c r="H68" i="8" s="1"/>
  <c r="F167" i="8"/>
  <c r="H167" i="8" s="1"/>
  <c r="F331" i="8"/>
  <c r="H331" i="8" s="1"/>
  <c r="E321" i="8"/>
  <c r="E209" i="8"/>
  <c r="F209" i="8" s="1"/>
  <c r="H209" i="8" s="1"/>
  <c r="E140" i="8"/>
  <c r="F140" i="8" s="1"/>
  <c r="H140" i="8" s="1"/>
  <c r="E98" i="8"/>
  <c r="F98" i="8" s="1"/>
  <c r="H98" i="8" s="1"/>
  <c r="E40" i="8"/>
  <c r="F40" i="8" s="1"/>
  <c r="H40" i="8" s="1"/>
  <c r="G89" i="8"/>
  <c r="G218" i="8"/>
  <c r="G317" i="8"/>
  <c r="F144" i="8"/>
  <c r="F298" i="8"/>
  <c r="E313" i="8"/>
  <c r="E200" i="8"/>
  <c r="E114" i="8"/>
  <c r="E59" i="8"/>
  <c r="F59" i="8" s="1"/>
  <c r="H59" i="8" s="1"/>
  <c r="G61" i="8"/>
  <c r="G50" i="8"/>
  <c r="G88" i="8"/>
  <c r="G122" i="8"/>
  <c r="G152" i="8"/>
  <c r="G187" i="8"/>
  <c r="G213" i="8"/>
  <c r="G251" i="8"/>
  <c r="G277" i="8"/>
  <c r="G316" i="8"/>
  <c r="G341" i="8"/>
  <c r="F41" i="8"/>
  <c r="F168" i="8"/>
  <c r="H168" i="8" s="1"/>
  <c r="F203" i="8"/>
  <c r="F233" i="8"/>
  <c r="H233" i="8" s="1"/>
  <c r="E347" i="8"/>
  <c r="F347" i="8" s="1"/>
  <c r="H347" i="8" s="1"/>
  <c r="E315" i="8"/>
  <c r="E287" i="8"/>
  <c r="E257" i="8"/>
  <c r="F257" i="8" s="1"/>
  <c r="H257" i="8" s="1"/>
  <c r="E229" i="8"/>
  <c r="E208" i="8"/>
  <c r="F208" i="8" s="1"/>
  <c r="H208" i="8" s="1"/>
  <c r="E180" i="8"/>
  <c r="F180" i="8" s="1"/>
  <c r="H180" i="8" s="1"/>
  <c r="E158" i="8"/>
  <c r="F158" i="8" s="1"/>
  <c r="H158" i="8" s="1"/>
  <c r="E139" i="8"/>
  <c r="F139" i="8" s="1"/>
  <c r="H139" i="8" s="1"/>
  <c r="E115" i="8"/>
  <c r="F115" i="8" s="1"/>
  <c r="H115" i="8" s="1"/>
  <c r="E97" i="8"/>
  <c r="E79" i="8"/>
  <c r="E60" i="8"/>
  <c r="E39" i="8"/>
  <c r="F39" i="8" s="1"/>
  <c r="H39" i="8" s="1"/>
  <c r="G59" i="8"/>
  <c r="G188" i="8"/>
  <c r="G350" i="8"/>
  <c r="F169" i="8"/>
  <c r="H169" i="8" s="1"/>
  <c r="E286" i="8"/>
  <c r="F286" i="8" s="1"/>
  <c r="H286" i="8" s="1"/>
  <c r="E138" i="8"/>
  <c r="F138" i="8" s="1"/>
  <c r="H138" i="8" s="1"/>
  <c r="E38" i="8"/>
  <c r="F38" i="8" s="1"/>
  <c r="H38" i="8" s="1"/>
  <c r="G92" i="8"/>
  <c r="G164" i="8"/>
  <c r="G228" i="8"/>
  <c r="G292" i="8"/>
  <c r="G356" i="8"/>
  <c r="F213" i="8"/>
  <c r="H213" i="8" s="1"/>
  <c r="F277" i="8"/>
  <c r="F341" i="8"/>
  <c r="H341" i="8" s="1"/>
  <c r="E334" i="8"/>
  <c r="E273" i="8"/>
  <c r="F273" i="8" s="1"/>
  <c r="H273" i="8" s="1"/>
  <c r="E222" i="8"/>
  <c r="F222" i="8" s="1"/>
  <c r="H222" i="8" s="1"/>
  <c r="E173" i="8"/>
  <c r="F173" i="8" s="1"/>
  <c r="H173" i="8" s="1"/>
  <c r="E130" i="8"/>
  <c r="F130" i="8" s="1"/>
  <c r="H130" i="8" s="1"/>
  <c r="E93" i="8"/>
  <c r="F93" i="8" s="1"/>
  <c r="H93" i="8" s="1"/>
  <c r="E53" i="8"/>
  <c r="F53" i="8" s="1"/>
  <c r="H53" i="8" s="1"/>
  <c r="E172" i="8"/>
  <c r="E91" i="8"/>
  <c r="E52" i="8"/>
  <c r="G234" i="8"/>
  <c r="G359" i="8"/>
  <c r="F151" i="8"/>
  <c r="E271" i="8"/>
  <c r="F271" i="8" s="1"/>
  <c r="H271" i="8" s="1"/>
  <c r="E171" i="8"/>
  <c r="E90" i="8"/>
  <c r="F90" i="8" s="1"/>
  <c r="H90" i="8" s="1"/>
  <c r="G104" i="8"/>
  <c r="G235" i="8"/>
  <c r="G299" i="8"/>
  <c r="G360" i="8"/>
  <c r="F88" i="8"/>
  <c r="F350" i="8"/>
  <c r="H350" i="8" s="1"/>
  <c r="E329" i="8"/>
  <c r="E270" i="8"/>
  <c r="E170" i="8"/>
  <c r="F170" i="8" s="1"/>
  <c r="H170" i="8" s="1"/>
  <c r="E49" i="8"/>
  <c r="F49" i="8" s="1"/>
  <c r="H49" i="8" s="1"/>
  <c r="G190" i="8"/>
  <c r="G254" i="8"/>
  <c r="F47" i="8"/>
  <c r="H47" i="8" s="1"/>
  <c r="F107" i="8"/>
  <c r="H107" i="8" s="1"/>
  <c r="F171" i="8"/>
  <c r="H171" i="8" s="1"/>
  <c r="E254" i="8"/>
  <c r="G34" i="8"/>
  <c r="G255" i="8"/>
  <c r="F309" i="8"/>
  <c r="H309" i="8" s="1"/>
  <c r="E199" i="8"/>
  <c r="G38" i="8"/>
  <c r="G320" i="8"/>
  <c r="F311" i="8"/>
  <c r="H311" i="8" s="1"/>
  <c r="E366" i="8"/>
  <c r="F366" i="8" s="1"/>
  <c r="H366" i="8" s="1"/>
  <c r="E252" i="8"/>
  <c r="F252" i="8" s="1"/>
  <c r="H252" i="8" s="1"/>
  <c r="E155" i="8"/>
  <c r="F155" i="8" s="1"/>
  <c r="H155" i="8" s="1"/>
  <c r="E75" i="8"/>
  <c r="F75" i="8" s="1"/>
  <c r="H75" i="8" s="1"/>
  <c r="G193" i="8"/>
  <c r="G321" i="8"/>
  <c r="F183" i="8"/>
  <c r="H183" i="8" s="1"/>
  <c r="E365" i="8"/>
  <c r="E197" i="8"/>
  <c r="E74" i="8"/>
  <c r="F74" i="8" s="1"/>
  <c r="H74" i="8" s="1"/>
  <c r="G194" i="8"/>
  <c r="F313" i="8"/>
  <c r="H313" i="8" s="1"/>
  <c r="E246" i="8"/>
  <c r="E110" i="8"/>
  <c r="F110" i="8" s="1"/>
  <c r="H110" i="8" s="1"/>
  <c r="E33" i="8"/>
  <c r="F33" i="8" s="1"/>
  <c r="H33" i="8" s="1"/>
  <c r="G64" i="8"/>
  <c r="G268" i="8"/>
  <c r="E303" i="8"/>
  <c r="E109" i="8"/>
  <c r="G131" i="8"/>
  <c r="F187" i="8"/>
  <c r="H187" i="8" s="1"/>
  <c r="E244" i="8"/>
  <c r="G354" i="8"/>
  <c r="E284" i="8"/>
  <c r="F284" i="8" s="1"/>
  <c r="H284" i="8" s="1"/>
  <c r="E178" i="8"/>
  <c r="E137" i="8"/>
  <c r="E55" i="8"/>
  <c r="F55" i="8" s="1"/>
  <c r="H55" i="8" s="1"/>
  <c r="G162" i="8"/>
  <c r="G291" i="8"/>
  <c r="E342" i="8"/>
  <c r="E226" i="8"/>
  <c r="E131" i="8"/>
  <c r="E54" i="8"/>
  <c r="F54" i="8" s="1"/>
  <c r="H54" i="8" s="1"/>
  <c r="G93" i="8"/>
  <c r="G168" i="8"/>
  <c r="G229" i="8"/>
  <c r="G293" i="8"/>
  <c r="G358" i="8"/>
  <c r="F85" i="8"/>
  <c r="F150" i="8"/>
  <c r="H150" i="8" s="1"/>
  <c r="F214" i="8"/>
  <c r="H214" i="8" s="1"/>
  <c r="E331" i="8"/>
  <c r="E272" i="8"/>
  <c r="E217" i="8"/>
  <c r="E129" i="8"/>
  <c r="F129" i="8" s="1"/>
  <c r="H129" i="8" s="1"/>
  <c r="G98" i="8"/>
  <c r="G170" i="8"/>
  <c r="G294" i="8"/>
  <c r="F87" i="8"/>
  <c r="H87" i="8" s="1"/>
  <c r="F215" i="8"/>
  <c r="F349" i="8"/>
  <c r="H349" i="8" s="1"/>
  <c r="E330" i="8"/>
  <c r="F330" i="8" s="1"/>
  <c r="H330" i="8" s="1"/>
  <c r="E216" i="8"/>
  <c r="F216" i="8" s="1"/>
  <c r="H216" i="8" s="1"/>
  <c r="E128" i="8"/>
  <c r="G171" i="8"/>
  <c r="E215" i="8"/>
  <c r="E127" i="8"/>
  <c r="F127" i="8" s="1"/>
  <c r="H127" i="8" s="1"/>
  <c r="E89" i="8"/>
  <c r="F89" i="8" s="1"/>
  <c r="H89" i="8" s="1"/>
  <c r="G106" i="8"/>
  <c r="F307" i="8"/>
  <c r="H307" i="8" s="1"/>
  <c r="E214" i="8"/>
  <c r="E85" i="8"/>
  <c r="F48" i="8"/>
  <c r="H48" i="8" s="1"/>
  <c r="F172" i="8"/>
  <c r="H172" i="8" s="1"/>
  <c r="E367" i="8"/>
  <c r="F367" i="8" s="1"/>
  <c r="H367" i="8" s="1"/>
  <c r="E253" i="8"/>
  <c r="F253" i="8" s="1"/>
  <c r="H253" i="8" s="1"/>
  <c r="E113" i="8"/>
  <c r="F113" i="8" s="1"/>
  <c r="H113" i="8" s="1"/>
  <c r="E37" i="8"/>
  <c r="F37" i="8" s="1"/>
  <c r="H37" i="8" s="1"/>
  <c r="G126" i="8"/>
  <c r="G256" i="8"/>
  <c r="E307" i="8"/>
  <c r="E112" i="8"/>
  <c r="F112" i="8" s="1"/>
  <c r="H112" i="8" s="1"/>
  <c r="E35" i="8"/>
  <c r="F35" i="8" s="1"/>
  <c r="H35" i="8" s="1"/>
  <c r="G40" i="8"/>
  <c r="G257" i="8"/>
  <c r="F118" i="8"/>
  <c r="H118" i="8" s="1"/>
  <c r="F312" i="8"/>
  <c r="H312" i="8" s="1"/>
  <c r="E247" i="8"/>
  <c r="F247" i="8" s="1"/>
  <c r="H247" i="8" s="1"/>
  <c r="E111" i="8"/>
  <c r="F111" i="8" s="1"/>
  <c r="H111" i="8" s="1"/>
  <c r="G258" i="8"/>
  <c r="E364" i="8"/>
  <c r="E153" i="8"/>
  <c r="F153" i="8" s="1"/>
  <c r="H153" i="8" s="1"/>
  <c r="G130" i="8"/>
  <c r="E245" i="8"/>
  <c r="F245" i="8" s="1"/>
  <c r="H245" i="8" s="1"/>
  <c r="E69" i="8"/>
  <c r="F69" i="8" s="1"/>
  <c r="H69" i="8" s="1"/>
  <c r="G270" i="8"/>
  <c r="F123" i="8"/>
  <c r="H123" i="8" s="1"/>
  <c r="F315" i="8"/>
  <c r="H315" i="8" s="1"/>
  <c r="E362" i="8"/>
  <c r="F362" i="8" s="1"/>
  <c r="H362" i="8" s="1"/>
  <c r="E194" i="8"/>
  <c r="E68" i="8"/>
  <c r="G136" i="8"/>
  <c r="F270" i="8"/>
  <c r="E344" i="8"/>
  <c r="F344" i="8" s="1"/>
  <c r="H344" i="8" s="1"/>
  <c r="E193" i="8"/>
  <c r="E107" i="8"/>
  <c r="G70" i="8"/>
  <c r="G156" i="8"/>
  <c r="G224" i="8"/>
  <c r="G290" i="8"/>
  <c r="F82" i="8"/>
  <c r="H82" i="8" s="1"/>
  <c r="F146" i="8"/>
  <c r="H146" i="8" s="1"/>
  <c r="F210" i="8"/>
  <c r="H210" i="8" s="1"/>
  <c r="F335" i="8"/>
  <c r="E343" i="8"/>
  <c r="E227" i="8"/>
  <c r="E95" i="8"/>
  <c r="F95" i="8" s="1"/>
  <c r="H95" i="8" s="1"/>
  <c r="G72" i="8"/>
  <c r="G227" i="8"/>
  <c r="G355" i="8"/>
  <c r="F276" i="8"/>
  <c r="H276" i="8" s="1"/>
  <c r="F340" i="8"/>
  <c r="H340" i="8" s="1"/>
  <c r="E275" i="8"/>
  <c r="F275" i="8" s="1"/>
  <c r="H275" i="8" s="1"/>
  <c r="E177" i="8"/>
  <c r="F177" i="8" s="1"/>
  <c r="H177" i="8" s="1"/>
  <c r="E94" i="8"/>
  <c r="F94" i="8" s="1"/>
  <c r="H94" i="8" s="1"/>
  <c r="E51" i="8"/>
  <c r="G318" i="8"/>
  <c r="E312" i="8"/>
  <c r="E169" i="8"/>
  <c r="E126" i="8"/>
  <c r="E48" i="8"/>
  <c r="G107" i="8"/>
  <c r="G191" i="8"/>
  <c r="G319" i="8"/>
  <c r="F244" i="8"/>
  <c r="H244" i="8" s="1"/>
  <c r="E308" i="8"/>
  <c r="F308" i="8" s="1"/>
  <c r="H308" i="8" s="1"/>
  <c r="E156" i="8"/>
  <c r="F156" i="8" s="1"/>
  <c r="H156" i="8" s="1"/>
  <c r="E76" i="8"/>
  <c r="F76" i="8" s="1"/>
  <c r="H76" i="8" s="1"/>
  <c r="G192" i="8"/>
  <c r="E198" i="8"/>
  <c r="F198" i="8" s="1"/>
  <c r="H198" i="8" s="1"/>
  <c r="G128" i="8"/>
  <c r="E306" i="8"/>
  <c r="F306" i="8" s="1"/>
  <c r="H306" i="8" s="1"/>
  <c r="E154" i="8"/>
  <c r="E34" i="8"/>
  <c r="F34" i="8" s="1"/>
  <c r="H34" i="8" s="1"/>
  <c r="G62" i="8"/>
  <c r="G129" i="8"/>
  <c r="G327" i="8"/>
  <c r="F249" i="8"/>
  <c r="H249" i="8" s="1"/>
  <c r="E305" i="8"/>
  <c r="E196" i="8"/>
  <c r="F196" i="8" s="1"/>
  <c r="H196" i="8" s="1"/>
  <c r="E70" i="8"/>
  <c r="F70" i="8" s="1"/>
  <c r="H70" i="8" s="1"/>
  <c r="G195" i="8"/>
  <c r="G333" i="8"/>
  <c r="E363" i="8"/>
  <c r="F363" i="8" s="1"/>
  <c r="H363" i="8" s="1"/>
  <c r="E195" i="8"/>
  <c r="F195" i="8" s="1"/>
  <c r="H195" i="8" s="1"/>
  <c r="E149" i="8"/>
  <c r="F149" i="8" s="1"/>
  <c r="H149" i="8" s="1"/>
  <c r="E32" i="8"/>
  <c r="F32" i="8" s="1"/>
  <c r="H32" i="8" s="1"/>
  <c r="G65" i="8"/>
  <c r="G334" i="8"/>
  <c r="F62" i="8"/>
  <c r="H62" i="8" s="1"/>
  <c r="E302" i="8"/>
  <c r="F302" i="8" s="1"/>
  <c r="H302" i="8" s="1"/>
  <c r="E108" i="8"/>
  <c r="G219" i="8"/>
  <c r="G353" i="8"/>
  <c r="E285" i="8"/>
  <c r="F285" i="8" s="1"/>
  <c r="H285" i="8" s="1"/>
  <c r="E145" i="8"/>
  <c r="G205" i="8"/>
  <c r="E146" i="8"/>
  <c r="G66" i="8"/>
  <c r="G288" i="8"/>
  <c r="F145" i="8"/>
  <c r="H145" i="8" s="1"/>
  <c r="F334" i="8"/>
  <c r="H334" i="8" s="1"/>
  <c r="E231" i="8"/>
  <c r="E67" i="8"/>
  <c r="H215" i="8" l="1"/>
  <c r="H43" i="8"/>
  <c r="H254" i="8"/>
  <c r="H151" i="8"/>
  <c r="H277" i="8"/>
  <c r="H294" i="8"/>
  <c r="H238" i="8"/>
  <c r="H162" i="8"/>
  <c r="H226" i="8"/>
  <c r="H191" i="8"/>
  <c r="H134" i="8"/>
  <c r="H237" i="8"/>
  <c r="H71" i="8"/>
  <c r="H144" i="8"/>
  <c r="H79" i="8"/>
  <c r="H133" i="8"/>
  <c r="H85" i="8"/>
  <c r="H299" i="8"/>
  <c r="H41" i="8"/>
  <c r="H327" i="8"/>
  <c r="H161" i="8"/>
  <c r="H203" i="8"/>
  <c r="H305" i="8"/>
  <c r="H154" i="8"/>
  <c r="H66" i="8"/>
  <c r="H268" i="8"/>
  <c r="H298" i="8"/>
  <c r="H61" i="8"/>
  <c r="H364" i="8"/>
  <c r="H343" i="8"/>
  <c r="H335" i="8"/>
  <c r="H88" i="8"/>
  <c r="H230" i="8"/>
  <c r="H199" i="8"/>
  <c r="H103" i="8"/>
  <c r="H270" i="8"/>
  <c r="H202" i="8"/>
  <c r="H346" i="8"/>
  <c r="G31" i="8"/>
  <c r="E31" i="8"/>
  <c r="F31" i="8" s="1"/>
  <c r="H3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4A958FB-0F18-6842-84F6-3FD6AB3A31D2}" keepAlive="1" name="Query - BTCUSDT_1d_binance_us_2025-05-15_2026-05-15" description="Connection to the 'BTCUSDT_1d_binance_us_2025-05-15_2026-05-15' query in the workbook." type="5" refreshedVersion="8" background="1" saveData="1">
    <dbPr connection="Provider=Microsoft.Mashup.OleDb.1;Data Source=$Workbook$;Location=BTCUSDT_1d_binance_us_2025-05-15_2026-05-15;Extended Properties=&quot;&quot;" command="SELECT * FROM [BTCUSDT_1d_binance_us_2025-05-15_2026-05-15]"/>
  </connection>
  <connection id="2" xr16:uid="{91B761D4-035D-014A-8EC4-0C6DA1186218}" keepAlive="1" name="Query - SOLUSDT_1d_binance_us_2025-05-15_2026-05-15" description="Connection to the 'SOLUSDT_1d_binance_us_2025-05-15_2026-05-15' query in the workbook." type="5" refreshedVersion="8" background="1" saveData="1">
    <dbPr connection="Provider=Microsoft.Mashup.OleDb.1;Data Source=$Workbook$;Location=SOLUSDT_1d_binance_us_2025-05-15_2026-05-15;Extended Properties=&quot;&quot;" command="SELECT * FROM [SOLUSDT_1d_binance_us_2025-05-15_2026-05-15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<sst xmlns="http://schemas.openxmlformats.org/spreadsheetml/2006/main" count="773" uniqueCount="31">
  <si>
    <t>Date</t>
  </si>
  <si>
    <t>Symbol</t>
  </si>
  <si>
    <t>OpenTimeUTC</t>
  </si>
  <si>
    <t>Open</t>
  </si>
  <si>
    <t>High</t>
  </si>
  <si>
    <t>Low</t>
  </si>
  <si>
    <t>Close</t>
  </si>
  <si>
    <t>Volume</t>
  </si>
  <si>
    <t>CloseTimeUTC</t>
  </si>
  <si>
    <t>QuoteVolume</t>
  </si>
  <si>
    <t>NumberOfTrades</t>
  </si>
  <si>
    <t>BTCUSDT</t>
  </si>
  <si>
    <t>SOLUSDT</t>
  </si>
  <si>
    <t>BTC_Close</t>
  </si>
  <si>
    <t>SOL_Close</t>
  </si>
  <si>
    <t>BTC_SOL_Ratio</t>
  </si>
  <si>
    <t>Ratio_MA_30</t>
  </si>
  <si>
    <t>Ratio_vs_MA</t>
  </si>
  <si>
    <t>Ratio_SD_30</t>
  </si>
  <si>
    <t>Ratio_Z_30</t>
  </si>
  <si>
    <t>Signal</t>
  </si>
  <si>
    <t>Signal_Type</t>
  </si>
  <si>
    <t>Count</t>
  </si>
  <si>
    <t>BTC rich vs SOL</t>
  </si>
  <si>
    <t>BTC cheap vs SOL</t>
  </si>
  <si>
    <t>Neutral</t>
  </si>
  <si>
    <t>Share</t>
  </si>
  <si>
    <t>Upper_Threshold</t>
  </si>
  <si>
    <t>Lower_Threshold</t>
  </si>
  <si>
    <t>Interpretation</t>
  </si>
  <si>
    <t>Mostly neutral, with threshold events clustered by regime; positive extremes were more frequent than negative extremes, so BTC was more often rich versus SOL than cheap over this sample.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</si>
</sst>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d/mm/yyyy;@" x16r2:formatCode16="[$-en-TR,1]d/mm/yyyy;@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JetBrains Mono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22" fontId="0" fillId="0" borderId="0" xfId="0" applyNumberFormat="1"/>
    <xf numFmtId="164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10" fontId="1" fillId="0" borderId="0" xfId="1" applyNumberFormat="1" applyFont="1"/>
  </cellXfs>
  <cellStyles count="2">
    <cellStyle name="Normal" xfId="0" builtinId="0"/>
    <cellStyle name="Percent" xfId="1" builtinId="5"/>
  </cellStyles>
  <dxfs count="8">
    <dxf>
      <numFmt numFmtId="27" formatCode="d/mm/yyyy\ hh:mm"/>
    </dxf>
    <dxf>
      <numFmt numFmtId="27" formatCode="d/mm/yyyy\ hh:mm"/>
    </dxf>
    <dxf>
      <numFmt numFmtId="0" formatCode="General"/>
    </dxf>
    <dxf>
      <numFmt numFmtId="19" formatCode="d/mm/yyyy"/>
    </dxf>
    <dxf>
      <numFmt numFmtId="27" formatCode="d/mm/yyyy\ hh:mm"/>
    </dxf>
    <dxf>
      <numFmt numFmtId="27" formatCode="d/mm/yyyy\ hh:mm"/>
    </dxf>
    <dxf>
      <numFmt numFmtId="0" formatCode="General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TR" sz="1400" b="0" i="0" u="none" strike="noStrike" baseline="0">
                <a:effectLst/>
              </a:rPr>
              <a:t>BTC/SOL Ratio 30-Day Z-Score</a:t>
            </a:r>
            <a:endParaRPr lang="en-US" sz="1400" b="0" i="0" u="none" strike="noStrike" baseline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analysis!$H$1:$H$30</c:f>
              <c:strCache>
                <c:ptCount val="30"/>
                <c:pt idx="0">
                  <c:v>Ratio_Z_30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analysis!$A$31:$A$367</c:f>
              <c:numCache>
                <mc:AlternateContent xmlns:mc="http://schemas.openxmlformats.org/markup-compatibility/2006">
                  <mc:Choice Requires="c16r2">
                    <c16r2:formatcode2>[$-en-TR,1]d/mm/yyyy;@</c16r2:formatcode2>
                  </mc:Choice>
                  <mc:Fallback>
                    <c:formatCode>[$]d/mm/yyyy;@</c:formatCode>
                  </mc:Fallback>
                </mc:AlternateContent>
                <c:ptCount val="337"/>
                <c:pt idx="0">
                  <c:v>45821</c:v>
                </c:pt>
                <c:pt idx="1">
                  <c:v>45822</c:v>
                </c:pt>
                <c:pt idx="2">
                  <c:v>45823</c:v>
                </c:pt>
                <c:pt idx="3">
                  <c:v>45824</c:v>
                </c:pt>
                <c:pt idx="4">
                  <c:v>45825</c:v>
                </c:pt>
                <c:pt idx="5">
                  <c:v>45826</c:v>
                </c:pt>
                <c:pt idx="6">
                  <c:v>45827</c:v>
                </c:pt>
                <c:pt idx="7">
                  <c:v>45828</c:v>
                </c:pt>
                <c:pt idx="8">
                  <c:v>45829</c:v>
                </c:pt>
                <c:pt idx="9">
                  <c:v>45830</c:v>
                </c:pt>
                <c:pt idx="10">
                  <c:v>45831</c:v>
                </c:pt>
                <c:pt idx="11">
                  <c:v>45832</c:v>
                </c:pt>
                <c:pt idx="12">
                  <c:v>45833</c:v>
                </c:pt>
                <c:pt idx="13">
                  <c:v>45834</c:v>
                </c:pt>
                <c:pt idx="14">
                  <c:v>45835</c:v>
                </c:pt>
                <c:pt idx="15">
                  <c:v>45836</c:v>
                </c:pt>
                <c:pt idx="16">
                  <c:v>45837</c:v>
                </c:pt>
                <c:pt idx="17">
                  <c:v>45838</c:v>
                </c:pt>
                <c:pt idx="18">
                  <c:v>45839</c:v>
                </c:pt>
                <c:pt idx="19">
                  <c:v>45840</c:v>
                </c:pt>
                <c:pt idx="20">
                  <c:v>45841</c:v>
                </c:pt>
                <c:pt idx="21">
                  <c:v>45842</c:v>
                </c:pt>
                <c:pt idx="22">
                  <c:v>45843</c:v>
                </c:pt>
                <c:pt idx="23">
                  <c:v>45844</c:v>
                </c:pt>
                <c:pt idx="24">
                  <c:v>45845</c:v>
                </c:pt>
                <c:pt idx="25">
                  <c:v>45846</c:v>
                </c:pt>
                <c:pt idx="26">
                  <c:v>45847</c:v>
                </c:pt>
                <c:pt idx="27">
                  <c:v>45848</c:v>
                </c:pt>
                <c:pt idx="28">
                  <c:v>45849</c:v>
                </c:pt>
                <c:pt idx="29">
                  <c:v>45850</c:v>
                </c:pt>
                <c:pt idx="30">
                  <c:v>45851</c:v>
                </c:pt>
                <c:pt idx="31">
                  <c:v>45852</c:v>
                </c:pt>
                <c:pt idx="32">
                  <c:v>45853</c:v>
                </c:pt>
                <c:pt idx="33">
                  <c:v>45854</c:v>
                </c:pt>
                <c:pt idx="34">
                  <c:v>45855</c:v>
                </c:pt>
                <c:pt idx="35">
                  <c:v>45856</c:v>
                </c:pt>
                <c:pt idx="36">
                  <c:v>45857</c:v>
                </c:pt>
                <c:pt idx="37">
                  <c:v>45858</c:v>
                </c:pt>
                <c:pt idx="38">
                  <c:v>45859</c:v>
                </c:pt>
                <c:pt idx="39">
                  <c:v>45860</c:v>
                </c:pt>
                <c:pt idx="40">
                  <c:v>45861</c:v>
                </c:pt>
                <c:pt idx="41">
                  <c:v>45862</c:v>
                </c:pt>
                <c:pt idx="42">
                  <c:v>45863</c:v>
                </c:pt>
                <c:pt idx="43">
                  <c:v>45864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45868</c:v>
                </c:pt>
                <c:pt idx="48">
                  <c:v>45869</c:v>
                </c:pt>
                <c:pt idx="49">
                  <c:v>45870</c:v>
                </c:pt>
                <c:pt idx="50">
                  <c:v>45871</c:v>
                </c:pt>
                <c:pt idx="51">
                  <c:v>45872</c:v>
                </c:pt>
                <c:pt idx="52">
                  <c:v>45873</c:v>
                </c:pt>
                <c:pt idx="53">
                  <c:v>45874</c:v>
                </c:pt>
                <c:pt idx="54">
                  <c:v>45875</c:v>
                </c:pt>
                <c:pt idx="55">
                  <c:v>45876</c:v>
                </c:pt>
                <c:pt idx="56">
                  <c:v>45877</c:v>
                </c:pt>
                <c:pt idx="57">
                  <c:v>45878</c:v>
                </c:pt>
                <c:pt idx="58">
                  <c:v>45879</c:v>
                </c:pt>
                <c:pt idx="59">
                  <c:v>45880</c:v>
                </c:pt>
                <c:pt idx="60">
                  <c:v>45881</c:v>
                </c:pt>
                <c:pt idx="61">
                  <c:v>45882</c:v>
                </c:pt>
                <c:pt idx="62">
                  <c:v>45883</c:v>
                </c:pt>
                <c:pt idx="63">
                  <c:v>45884</c:v>
                </c:pt>
                <c:pt idx="64">
                  <c:v>45885</c:v>
                </c:pt>
                <c:pt idx="65">
                  <c:v>45886</c:v>
                </c:pt>
                <c:pt idx="66">
                  <c:v>45887</c:v>
                </c:pt>
                <c:pt idx="67">
                  <c:v>45888</c:v>
                </c:pt>
                <c:pt idx="68">
                  <c:v>45889</c:v>
                </c:pt>
                <c:pt idx="69">
                  <c:v>45890</c:v>
                </c:pt>
                <c:pt idx="70">
                  <c:v>45891</c:v>
                </c:pt>
                <c:pt idx="71">
                  <c:v>45892</c:v>
                </c:pt>
                <c:pt idx="72">
                  <c:v>45893</c:v>
                </c:pt>
                <c:pt idx="73">
                  <c:v>45894</c:v>
                </c:pt>
                <c:pt idx="74">
                  <c:v>45895</c:v>
                </c:pt>
                <c:pt idx="75">
                  <c:v>45896</c:v>
                </c:pt>
                <c:pt idx="76">
                  <c:v>45897</c:v>
                </c:pt>
                <c:pt idx="77">
                  <c:v>45898</c:v>
                </c:pt>
                <c:pt idx="78">
                  <c:v>45899</c:v>
                </c:pt>
                <c:pt idx="79">
                  <c:v>45900</c:v>
                </c:pt>
                <c:pt idx="80">
                  <c:v>45901</c:v>
                </c:pt>
                <c:pt idx="81">
                  <c:v>45902</c:v>
                </c:pt>
                <c:pt idx="82">
                  <c:v>45903</c:v>
                </c:pt>
                <c:pt idx="83">
                  <c:v>45904</c:v>
                </c:pt>
                <c:pt idx="84">
                  <c:v>45905</c:v>
                </c:pt>
                <c:pt idx="85">
                  <c:v>45906</c:v>
                </c:pt>
                <c:pt idx="86">
                  <c:v>45907</c:v>
                </c:pt>
                <c:pt idx="87">
                  <c:v>45908</c:v>
                </c:pt>
                <c:pt idx="88">
                  <c:v>45909</c:v>
                </c:pt>
                <c:pt idx="89">
                  <c:v>45910</c:v>
                </c:pt>
                <c:pt idx="90">
                  <c:v>45911</c:v>
                </c:pt>
                <c:pt idx="91">
                  <c:v>45912</c:v>
                </c:pt>
                <c:pt idx="92">
                  <c:v>45913</c:v>
                </c:pt>
                <c:pt idx="93">
                  <c:v>45914</c:v>
                </c:pt>
                <c:pt idx="94">
                  <c:v>45915</c:v>
                </c:pt>
                <c:pt idx="95">
                  <c:v>45916</c:v>
                </c:pt>
                <c:pt idx="96">
                  <c:v>45917</c:v>
                </c:pt>
                <c:pt idx="97">
                  <c:v>45918</c:v>
                </c:pt>
                <c:pt idx="98">
                  <c:v>45919</c:v>
                </c:pt>
                <c:pt idx="99">
                  <c:v>45920</c:v>
                </c:pt>
                <c:pt idx="100">
                  <c:v>45921</c:v>
                </c:pt>
                <c:pt idx="101">
                  <c:v>45922</c:v>
                </c:pt>
                <c:pt idx="102">
                  <c:v>45923</c:v>
                </c:pt>
                <c:pt idx="103">
                  <c:v>45924</c:v>
                </c:pt>
                <c:pt idx="104">
                  <c:v>45925</c:v>
                </c:pt>
                <c:pt idx="105">
                  <c:v>45926</c:v>
                </c:pt>
                <c:pt idx="106">
                  <c:v>45927</c:v>
                </c:pt>
                <c:pt idx="107">
                  <c:v>45928</c:v>
                </c:pt>
                <c:pt idx="108">
                  <c:v>45929</c:v>
                </c:pt>
                <c:pt idx="109">
                  <c:v>45930</c:v>
                </c:pt>
                <c:pt idx="110">
                  <c:v>45931</c:v>
                </c:pt>
                <c:pt idx="111">
                  <c:v>45932</c:v>
                </c:pt>
                <c:pt idx="112">
                  <c:v>45933</c:v>
                </c:pt>
                <c:pt idx="113">
                  <c:v>45934</c:v>
                </c:pt>
                <c:pt idx="114">
                  <c:v>45935</c:v>
                </c:pt>
                <c:pt idx="115">
                  <c:v>45936</c:v>
                </c:pt>
                <c:pt idx="116">
                  <c:v>45937</c:v>
                </c:pt>
                <c:pt idx="117">
                  <c:v>45938</c:v>
                </c:pt>
                <c:pt idx="118">
                  <c:v>45939</c:v>
                </c:pt>
                <c:pt idx="119">
                  <c:v>45940</c:v>
                </c:pt>
                <c:pt idx="120">
                  <c:v>45941</c:v>
                </c:pt>
                <c:pt idx="121">
                  <c:v>45942</c:v>
                </c:pt>
                <c:pt idx="122">
                  <c:v>45943</c:v>
                </c:pt>
                <c:pt idx="123">
                  <c:v>45944</c:v>
                </c:pt>
                <c:pt idx="124">
                  <c:v>45945</c:v>
                </c:pt>
                <c:pt idx="125">
                  <c:v>45946</c:v>
                </c:pt>
                <c:pt idx="126">
                  <c:v>45947</c:v>
                </c:pt>
                <c:pt idx="127">
                  <c:v>45948</c:v>
                </c:pt>
                <c:pt idx="128">
                  <c:v>45949</c:v>
                </c:pt>
                <c:pt idx="129">
                  <c:v>45950</c:v>
                </c:pt>
                <c:pt idx="130">
                  <c:v>45951</c:v>
                </c:pt>
                <c:pt idx="131">
                  <c:v>45952</c:v>
                </c:pt>
                <c:pt idx="132">
                  <c:v>45953</c:v>
                </c:pt>
                <c:pt idx="133">
                  <c:v>45954</c:v>
                </c:pt>
                <c:pt idx="134">
                  <c:v>45955</c:v>
                </c:pt>
                <c:pt idx="135">
                  <c:v>45956</c:v>
                </c:pt>
                <c:pt idx="136">
                  <c:v>45957</c:v>
                </c:pt>
                <c:pt idx="137">
                  <c:v>45958</c:v>
                </c:pt>
                <c:pt idx="138">
                  <c:v>45959</c:v>
                </c:pt>
                <c:pt idx="139">
                  <c:v>45960</c:v>
                </c:pt>
                <c:pt idx="140">
                  <c:v>45961</c:v>
                </c:pt>
                <c:pt idx="141">
                  <c:v>45962</c:v>
                </c:pt>
                <c:pt idx="142">
                  <c:v>45963</c:v>
                </c:pt>
                <c:pt idx="143">
                  <c:v>45964</c:v>
                </c:pt>
                <c:pt idx="144">
                  <c:v>45965</c:v>
                </c:pt>
                <c:pt idx="145">
                  <c:v>45966</c:v>
                </c:pt>
                <c:pt idx="146">
                  <c:v>45967</c:v>
                </c:pt>
                <c:pt idx="147">
                  <c:v>45968</c:v>
                </c:pt>
                <c:pt idx="148">
                  <c:v>45969</c:v>
                </c:pt>
                <c:pt idx="149">
                  <c:v>45970</c:v>
                </c:pt>
                <c:pt idx="150">
                  <c:v>45971</c:v>
                </c:pt>
                <c:pt idx="151">
                  <c:v>45972</c:v>
                </c:pt>
                <c:pt idx="152">
                  <c:v>45973</c:v>
                </c:pt>
                <c:pt idx="153">
                  <c:v>45974</c:v>
                </c:pt>
                <c:pt idx="154">
                  <c:v>45975</c:v>
                </c:pt>
                <c:pt idx="155">
                  <c:v>45976</c:v>
                </c:pt>
                <c:pt idx="156">
                  <c:v>45977</c:v>
                </c:pt>
                <c:pt idx="157">
                  <c:v>45978</c:v>
                </c:pt>
                <c:pt idx="158">
                  <c:v>45979</c:v>
                </c:pt>
                <c:pt idx="159">
                  <c:v>45980</c:v>
                </c:pt>
                <c:pt idx="160">
                  <c:v>45981</c:v>
                </c:pt>
                <c:pt idx="161">
                  <c:v>45982</c:v>
                </c:pt>
                <c:pt idx="162">
                  <c:v>45983</c:v>
                </c:pt>
                <c:pt idx="163">
                  <c:v>45984</c:v>
                </c:pt>
                <c:pt idx="164">
                  <c:v>45985</c:v>
                </c:pt>
                <c:pt idx="165">
                  <c:v>45986</c:v>
                </c:pt>
                <c:pt idx="166">
                  <c:v>45987</c:v>
                </c:pt>
                <c:pt idx="167">
                  <c:v>45988</c:v>
                </c:pt>
                <c:pt idx="168">
                  <c:v>45989</c:v>
                </c:pt>
                <c:pt idx="169">
                  <c:v>45990</c:v>
                </c:pt>
                <c:pt idx="170">
                  <c:v>45991</c:v>
                </c:pt>
                <c:pt idx="171">
                  <c:v>45992</c:v>
                </c:pt>
                <c:pt idx="172">
                  <c:v>45993</c:v>
                </c:pt>
                <c:pt idx="173">
                  <c:v>45994</c:v>
                </c:pt>
                <c:pt idx="174">
                  <c:v>45995</c:v>
                </c:pt>
                <c:pt idx="175">
                  <c:v>45996</c:v>
                </c:pt>
                <c:pt idx="176">
                  <c:v>45997</c:v>
                </c:pt>
                <c:pt idx="177">
                  <c:v>45998</c:v>
                </c:pt>
                <c:pt idx="178">
                  <c:v>45999</c:v>
                </c:pt>
                <c:pt idx="179">
                  <c:v>46000</c:v>
                </c:pt>
                <c:pt idx="180">
                  <c:v>46001</c:v>
                </c:pt>
                <c:pt idx="181">
                  <c:v>46002</c:v>
                </c:pt>
                <c:pt idx="182">
                  <c:v>46003</c:v>
                </c:pt>
                <c:pt idx="183">
                  <c:v>46004</c:v>
                </c:pt>
                <c:pt idx="184">
                  <c:v>46005</c:v>
                </c:pt>
                <c:pt idx="185">
                  <c:v>46006</c:v>
                </c:pt>
                <c:pt idx="186">
                  <c:v>46007</c:v>
                </c:pt>
                <c:pt idx="187">
                  <c:v>46008</c:v>
                </c:pt>
                <c:pt idx="188">
                  <c:v>46009</c:v>
                </c:pt>
                <c:pt idx="189">
                  <c:v>46010</c:v>
                </c:pt>
                <c:pt idx="190">
                  <c:v>46011</c:v>
                </c:pt>
                <c:pt idx="191">
                  <c:v>46012</c:v>
                </c:pt>
                <c:pt idx="192">
                  <c:v>46013</c:v>
                </c:pt>
                <c:pt idx="193">
                  <c:v>46014</c:v>
                </c:pt>
                <c:pt idx="194">
                  <c:v>46015</c:v>
                </c:pt>
                <c:pt idx="195">
                  <c:v>46016</c:v>
                </c:pt>
                <c:pt idx="196">
                  <c:v>46017</c:v>
                </c:pt>
                <c:pt idx="197">
                  <c:v>46018</c:v>
                </c:pt>
                <c:pt idx="198">
                  <c:v>46019</c:v>
                </c:pt>
                <c:pt idx="199">
                  <c:v>46020</c:v>
                </c:pt>
                <c:pt idx="200">
                  <c:v>46021</c:v>
                </c:pt>
                <c:pt idx="201">
                  <c:v>46022</c:v>
                </c:pt>
                <c:pt idx="202">
                  <c:v>46023</c:v>
                </c:pt>
                <c:pt idx="203">
                  <c:v>46024</c:v>
                </c:pt>
                <c:pt idx="204">
                  <c:v>46025</c:v>
                </c:pt>
                <c:pt idx="205">
                  <c:v>46026</c:v>
                </c:pt>
                <c:pt idx="206">
                  <c:v>46027</c:v>
                </c:pt>
                <c:pt idx="207">
                  <c:v>46028</c:v>
                </c:pt>
                <c:pt idx="208">
                  <c:v>46029</c:v>
                </c:pt>
                <c:pt idx="209">
                  <c:v>46030</c:v>
                </c:pt>
                <c:pt idx="210">
                  <c:v>46031</c:v>
                </c:pt>
                <c:pt idx="211">
                  <c:v>46032</c:v>
                </c:pt>
                <c:pt idx="212">
                  <c:v>46033</c:v>
                </c:pt>
                <c:pt idx="213">
                  <c:v>46034</c:v>
                </c:pt>
                <c:pt idx="214">
                  <c:v>46035</c:v>
                </c:pt>
                <c:pt idx="215">
                  <c:v>46036</c:v>
                </c:pt>
                <c:pt idx="216">
                  <c:v>46037</c:v>
                </c:pt>
                <c:pt idx="217">
                  <c:v>46038</c:v>
                </c:pt>
                <c:pt idx="218">
                  <c:v>46039</c:v>
                </c:pt>
                <c:pt idx="219">
                  <c:v>46040</c:v>
                </c:pt>
                <c:pt idx="220">
                  <c:v>46041</c:v>
                </c:pt>
                <c:pt idx="221">
                  <c:v>46042</c:v>
                </c:pt>
                <c:pt idx="222">
                  <c:v>46043</c:v>
                </c:pt>
                <c:pt idx="223">
                  <c:v>46044</c:v>
                </c:pt>
                <c:pt idx="224">
                  <c:v>46045</c:v>
                </c:pt>
                <c:pt idx="225">
                  <c:v>46046</c:v>
                </c:pt>
                <c:pt idx="226">
                  <c:v>46047</c:v>
                </c:pt>
                <c:pt idx="227">
                  <c:v>46048</c:v>
                </c:pt>
                <c:pt idx="228">
                  <c:v>46049</c:v>
                </c:pt>
                <c:pt idx="229">
                  <c:v>46050</c:v>
                </c:pt>
                <c:pt idx="230">
                  <c:v>46051</c:v>
                </c:pt>
                <c:pt idx="231">
                  <c:v>46052</c:v>
                </c:pt>
                <c:pt idx="232">
                  <c:v>46053</c:v>
                </c:pt>
                <c:pt idx="233">
                  <c:v>46054</c:v>
                </c:pt>
                <c:pt idx="234">
                  <c:v>46055</c:v>
                </c:pt>
                <c:pt idx="235">
                  <c:v>46056</c:v>
                </c:pt>
                <c:pt idx="236">
                  <c:v>46057</c:v>
                </c:pt>
                <c:pt idx="237">
                  <c:v>46058</c:v>
                </c:pt>
                <c:pt idx="238">
                  <c:v>46059</c:v>
                </c:pt>
                <c:pt idx="239">
                  <c:v>46060</c:v>
                </c:pt>
                <c:pt idx="240">
                  <c:v>46061</c:v>
                </c:pt>
                <c:pt idx="241">
                  <c:v>46062</c:v>
                </c:pt>
                <c:pt idx="242">
                  <c:v>46063</c:v>
                </c:pt>
                <c:pt idx="243">
                  <c:v>46064</c:v>
                </c:pt>
                <c:pt idx="244">
                  <c:v>46065</c:v>
                </c:pt>
                <c:pt idx="245">
                  <c:v>46066</c:v>
                </c:pt>
                <c:pt idx="246">
                  <c:v>46067</c:v>
                </c:pt>
                <c:pt idx="247">
                  <c:v>46068</c:v>
                </c:pt>
                <c:pt idx="248">
                  <c:v>46069</c:v>
                </c:pt>
                <c:pt idx="249">
                  <c:v>46070</c:v>
                </c:pt>
                <c:pt idx="250">
                  <c:v>46071</c:v>
                </c:pt>
                <c:pt idx="251">
                  <c:v>46072</c:v>
                </c:pt>
                <c:pt idx="252">
                  <c:v>46073</c:v>
                </c:pt>
                <c:pt idx="253">
                  <c:v>46074</c:v>
                </c:pt>
                <c:pt idx="254">
                  <c:v>46075</c:v>
                </c:pt>
                <c:pt idx="255">
                  <c:v>46076</c:v>
                </c:pt>
                <c:pt idx="256">
                  <c:v>46077</c:v>
                </c:pt>
                <c:pt idx="257">
                  <c:v>46078</c:v>
                </c:pt>
                <c:pt idx="258">
                  <c:v>46079</c:v>
                </c:pt>
                <c:pt idx="259">
                  <c:v>46080</c:v>
                </c:pt>
                <c:pt idx="260">
                  <c:v>46081</c:v>
                </c:pt>
                <c:pt idx="261">
                  <c:v>46082</c:v>
                </c:pt>
                <c:pt idx="262">
                  <c:v>46083</c:v>
                </c:pt>
                <c:pt idx="263">
                  <c:v>46084</c:v>
                </c:pt>
                <c:pt idx="264">
                  <c:v>46085</c:v>
                </c:pt>
                <c:pt idx="265">
                  <c:v>46086</c:v>
                </c:pt>
                <c:pt idx="266">
                  <c:v>46087</c:v>
                </c:pt>
                <c:pt idx="267">
                  <c:v>46088</c:v>
                </c:pt>
                <c:pt idx="268">
                  <c:v>46089</c:v>
                </c:pt>
                <c:pt idx="269">
                  <c:v>46090</c:v>
                </c:pt>
                <c:pt idx="270">
                  <c:v>46091</c:v>
                </c:pt>
                <c:pt idx="271">
                  <c:v>46092</c:v>
                </c:pt>
                <c:pt idx="272">
                  <c:v>46093</c:v>
                </c:pt>
                <c:pt idx="273">
                  <c:v>46094</c:v>
                </c:pt>
                <c:pt idx="274">
                  <c:v>46095</c:v>
                </c:pt>
                <c:pt idx="275">
                  <c:v>46096</c:v>
                </c:pt>
                <c:pt idx="276">
                  <c:v>46097</c:v>
                </c:pt>
                <c:pt idx="277">
                  <c:v>46098</c:v>
                </c:pt>
                <c:pt idx="278">
                  <c:v>46099</c:v>
                </c:pt>
                <c:pt idx="279">
                  <c:v>46100</c:v>
                </c:pt>
                <c:pt idx="280">
                  <c:v>46101</c:v>
                </c:pt>
                <c:pt idx="281">
                  <c:v>46102</c:v>
                </c:pt>
                <c:pt idx="282">
                  <c:v>46103</c:v>
                </c:pt>
                <c:pt idx="283">
                  <c:v>46104</c:v>
                </c:pt>
                <c:pt idx="284">
                  <c:v>46105</c:v>
                </c:pt>
                <c:pt idx="285">
                  <c:v>46106</c:v>
                </c:pt>
                <c:pt idx="286">
                  <c:v>46107</c:v>
                </c:pt>
                <c:pt idx="287">
                  <c:v>46108</c:v>
                </c:pt>
                <c:pt idx="288">
                  <c:v>46109</c:v>
                </c:pt>
                <c:pt idx="289">
                  <c:v>46110</c:v>
                </c:pt>
                <c:pt idx="290">
                  <c:v>46111</c:v>
                </c:pt>
                <c:pt idx="291">
                  <c:v>46112</c:v>
                </c:pt>
                <c:pt idx="292">
                  <c:v>46113</c:v>
                </c:pt>
                <c:pt idx="293">
                  <c:v>46114</c:v>
                </c:pt>
                <c:pt idx="294">
                  <c:v>46115</c:v>
                </c:pt>
                <c:pt idx="295">
                  <c:v>46116</c:v>
                </c:pt>
                <c:pt idx="296">
                  <c:v>46117</c:v>
                </c:pt>
                <c:pt idx="297">
                  <c:v>46118</c:v>
                </c:pt>
                <c:pt idx="298">
                  <c:v>46119</c:v>
                </c:pt>
                <c:pt idx="299">
                  <c:v>46120</c:v>
                </c:pt>
                <c:pt idx="300">
                  <c:v>46121</c:v>
                </c:pt>
                <c:pt idx="301">
                  <c:v>46122</c:v>
                </c:pt>
                <c:pt idx="302">
                  <c:v>46123</c:v>
                </c:pt>
                <c:pt idx="303">
                  <c:v>46124</c:v>
                </c:pt>
                <c:pt idx="304">
                  <c:v>46125</c:v>
                </c:pt>
                <c:pt idx="305">
                  <c:v>46126</c:v>
                </c:pt>
                <c:pt idx="306">
                  <c:v>46127</c:v>
                </c:pt>
                <c:pt idx="307">
                  <c:v>46128</c:v>
                </c:pt>
                <c:pt idx="308">
                  <c:v>46129</c:v>
                </c:pt>
                <c:pt idx="309">
                  <c:v>46130</c:v>
                </c:pt>
                <c:pt idx="310">
                  <c:v>46131</c:v>
                </c:pt>
                <c:pt idx="311">
                  <c:v>46132</c:v>
                </c:pt>
                <c:pt idx="312">
                  <c:v>46133</c:v>
                </c:pt>
                <c:pt idx="313">
                  <c:v>46134</c:v>
                </c:pt>
                <c:pt idx="314">
                  <c:v>46135</c:v>
                </c:pt>
                <c:pt idx="315">
                  <c:v>46136</c:v>
                </c:pt>
                <c:pt idx="316">
                  <c:v>46137</c:v>
                </c:pt>
                <c:pt idx="317">
                  <c:v>46138</c:v>
                </c:pt>
                <c:pt idx="318">
                  <c:v>46139</c:v>
                </c:pt>
                <c:pt idx="319">
                  <c:v>46140</c:v>
                </c:pt>
                <c:pt idx="320">
                  <c:v>46141</c:v>
                </c:pt>
                <c:pt idx="321">
                  <c:v>46142</c:v>
                </c:pt>
                <c:pt idx="322">
                  <c:v>46143</c:v>
                </c:pt>
                <c:pt idx="323">
                  <c:v>46144</c:v>
                </c:pt>
                <c:pt idx="324">
                  <c:v>46145</c:v>
                </c:pt>
                <c:pt idx="325">
                  <c:v>46146</c:v>
                </c:pt>
                <c:pt idx="326">
                  <c:v>46147</c:v>
                </c:pt>
                <c:pt idx="327">
                  <c:v>46148</c:v>
                </c:pt>
                <c:pt idx="328">
                  <c:v>46149</c:v>
                </c:pt>
                <c:pt idx="329">
                  <c:v>46150</c:v>
                </c:pt>
                <c:pt idx="330">
                  <c:v>46151</c:v>
                </c:pt>
                <c:pt idx="331">
                  <c:v>46152</c:v>
                </c:pt>
                <c:pt idx="332">
                  <c:v>46153</c:v>
                </c:pt>
                <c:pt idx="333">
                  <c:v>46154</c:v>
                </c:pt>
                <c:pt idx="334">
                  <c:v>46155</c:v>
                </c:pt>
                <c:pt idx="335">
                  <c:v>46156</c:v>
                </c:pt>
                <c:pt idx="336">
                  <c:v>46157</c:v>
                </c:pt>
              </c:numCache>
            </c:numRef>
          </c:cat>
          <c:val>
            <c:numRef>
              <c:f>analysis!$H$31:$H$367</c:f>
              <c:numCache>
                <c:formatCode>0.00</c:formatCode>
                <c:ptCount val="337"/>
                <c:pt idx="0">
                  <c:v>1.7585585260168224</c:v>
                </c:pt>
                <c:pt idx="1">
                  <c:v>1.9639373819709176</c:v>
                </c:pt>
                <c:pt idx="2">
                  <c:v>0.86714436754301993</c:v>
                </c:pt>
                <c:pt idx="3">
                  <c:v>1.3060937628747018</c:v>
                </c:pt>
                <c:pt idx="4">
                  <c:v>1.1616735234620668</c:v>
                </c:pt>
                <c:pt idx="5">
                  <c:v>1.332097054824916</c:v>
                </c:pt>
                <c:pt idx="6">
                  <c:v>1.115085137262904</c:v>
                </c:pt>
                <c:pt idx="7">
                  <c:v>1.6544814373212779</c:v>
                </c:pt>
                <c:pt idx="8">
                  <c:v>1.9011350159816542</c:v>
                </c:pt>
                <c:pt idx="9">
                  <c:v>2.0715838400431932</c:v>
                </c:pt>
                <c:pt idx="10">
                  <c:v>1.0886888049849286</c:v>
                </c:pt>
                <c:pt idx="11">
                  <c:v>0.94348145162851316</c:v>
                </c:pt>
                <c:pt idx="12">
                  <c:v>1.4361605015649097</c:v>
                </c:pt>
                <c:pt idx="13">
                  <c:v>1.9814377999786204</c:v>
                </c:pt>
                <c:pt idx="14">
                  <c:v>1.4232555009775403</c:v>
                </c:pt>
                <c:pt idx="15">
                  <c:v>0.13979326062296818</c:v>
                </c:pt>
                <c:pt idx="16">
                  <c:v>-8.9627384371955304E-2</c:v>
                </c:pt>
                <c:pt idx="17">
                  <c:v>-0.61476639505844533</c:v>
                </c:pt>
                <c:pt idx="18">
                  <c:v>0.27253235735989695</c:v>
                </c:pt>
                <c:pt idx="19">
                  <c:v>5.1419018577766679E-2</c:v>
                </c:pt>
                <c:pt idx="20">
                  <c:v>0.14418010145027282</c:v>
                </c:pt>
                <c:pt idx="21">
                  <c:v>0.62902851629649559</c:v>
                </c:pt>
                <c:pt idx="22">
                  <c:v>0.6638460817527041</c:v>
                </c:pt>
                <c:pt idx="23">
                  <c:v>7.1673105375521642E-2</c:v>
                </c:pt>
                <c:pt idx="24">
                  <c:v>0.32119044730595758</c:v>
                </c:pt>
                <c:pt idx="25">
                  <c:v>-4.9534558527311354E-2</c:v>
                </c:pt>
                <c:pt idx="26">
                  <c:v>-0.42387644638256239</c:v>
                </c:pt>
                <c:pt idx="27">
                  <c:v>-0.6453319091383094</c:v>
                </c:pt>
                <c:pt idx="28">
                  <c:v>-9.4786785336874596E-2</c:v>
                </c:pt>
                <c:pt idx="29">
                  <c:v>0.34255354934602789</c:v>
                </c:pt>
                <c:pt idx="30">
                  <c:v>0.67130497869699979</c:v>
                </c:pt>
                <c:pt idx="31">
                  <c:v>0.68266048366161036</c:v>
                </c:pt>
                <c:pt idx="32">
                  <c:v>-0.4941936239473429</c:v>
                </c:pt>
                <c:pt idx="33">
                  <c:v>-2.1268321890683324</c:v>
                </c:pt>
                <c:pt idx="34">
                  <c:v>-2.1398457283252834</c:v>
                </c:pt>
                <c:pt idx="35">
                  <c:v>-2.4035351066545556</c:v>
                </c:pt>
                <c:pt idx="36">
                  <c:v>-2.1102880975914142</c:v>
                </c:pt>
                <c:pt idx="37">
                  <c:v>-2.4819991655561489</c:v>
                </c:pt>
                <c:pt idx="38">
                  <c:v>-3.1865677537671666</c:v>
                </c:pt>
                <c:pt idx="39">
                  <c:v>-3.0086800921588095</c:v>
                </c:pt>
                <c:pt idx="40">
                  <c:v>-1.7581390239796599</c:v>
                </c:pt>
                <c:pt idx="41">
                  <c:v>-1.2053347901310962</c:v>
                </c:pt>
                <c:pt idx="42">
                  <c:v>-1.4735374398068921</c:v>
                </c:pt>
                <c:pt idx="43">
                  <c:v>-1.2410171720026058</c:v>
                </c:pt>
                <c:pt idx="44">
                  <c:v>-1.2533192838723723</c:v>
                </c:pt>
                <c:pt idx="45">
                  <c:v>-0.87451447327088261</c:v>
                </c:pt>
                <c:pt idx="46">
                  <c:v>-0.78827349607144692</c:v>
                </c:pt>
                <c:pt idx="47">
                  <c:v>-0.44521394923594204</c:v>
                </c:pt>
                <c:pt idx="48">
                  <c:v>-0.2353558215716115</c:v>
                </c:pt>
                <c:pt idx="49">
                  <c:v>0.32123358016583209</c:v>
                </c:pt>
                <c:pt idx="50">
                  <c:v>0.68775361069583663</c:v>
                </c:pt>
                <c:pt idx="51">
                  <c:v>0.54765990387562313</c:v>
                </c:pt>
                <c:pt idx="52">
                  <c:v>3.4992596002471912E-2</c:v>
                </c:pt>
                <c:pt idx="53">
                  <c:v>0.43770542029798709</c:v>
                </c:pt>
                <c:pt idx="54">
                  <c:v>0.22305554668017441</c:v>
                </c:pt>
                <c:pt idx="55">
                  <c:v>-0.12302634420379883</c:v>
                </c:pt>
                <c:pt idx="56">
                  <c:v>-0.28375121635241474</c:v>
                </c:pt>
                <c:pt idx="57">
                  <c:v>-0.64429578292887124</c:v>
                </c:pt>
                <c:pt idx="58">
                  <c:v>-0.4769405916749343</c:v>
                </c:pt>
                <c:pt idx="59">
                  <c:v>0.33741413748554927</c:v>
                </c:pt>
                <c:pt idx="60">
                  <c:v>-1.0708935056689657</c:v>
                </c:pt>
                <c:pt idx="61">
                  <c:v>-1.4738976122183669</c:v>
                </c:pt>
                <c:pt idx="62">
                  <c:v>-1.3414568930663622</c:v>
                </c:pt>
                <c:pt idx="63">
                  <c:v>-0.70674902307437137</c:v>
                </c:pt>
                <c:pt idx="64">
                  <c:v>-1.0306264614718039</c:v>
                </c:pt>
                <c:pt idx="65">
                  <c:v>-1.1147632503442397</c:v>
                </c:pt>
                <c:pt idx="66">
                  <c:v>-0.35305277460032314</c:v>
                </c:pt>
                <c:pt idx="67">
                  <c:v>-0.21653619421794509</c:v>
                </c:pt>
                <c:pt idx="68">
                  <c:v>-1.2213824298863907</c:v>
                </c:pt>
                <c:pt idx="69">
                  <c:v>-0.92515380255463142</c:v>
                </c:pt>
                <c:pt idx="70">
                  <c:v>-2.1187972256080512</c:v>
                </c:pt>
                <c:pt idx="71">
                  <c:v>-2.3033847476730087</c:v>
                </c:pt>
                <c:pt idx="72">
                  <c:v>-2.3810842656899642</c:v>
                </c:pt>
                <c:pt idx="73">
                  <c:v>-1.3129023117398828</c:v>
                </c:pt>
                <c:pt idx="74">
                  <c:v>-1.6371067192474174</c:v>
                </c:pt>
                <c:pt idx="75">
                  <c:v>-1.9166877485423981</c:v>
                </c:pt>
                <c:pt idx="76">
                  <c:v>-2.1619789096884872</c:v>
                </c:pt>
                <c:pt idx="77">
                  <c:v>-1.9079622774548064</c:v>
                </c:pt>
                <c:pt idx="78">
                  <c:v>-1.6149948051495726</c:v>
                </c:pt>
                <c:pt idx="79">
                  <c:v>-1.4087131241607369</c:v>
                </c:pt>
                <c:pt idx="80">
                  <c:v>-1.1367745256125268</c:v>
                </c:pt>
                <c:pt idx="81">
                  <c:v>-1.4468747971016669</c:v>
                </c:pt>
                <c:pt idx="82">
                  <c:v>-1.345396993581498</c:v>
                </c:pt>
                <c:pt idx="83">
                  <c:v>-1.0167006490445651</c:v>
                </c:pt>
                <c:pt idx="84">
                  <c:v>-1.0236316274420318</c:v>
                </c:pt>
                <c:pt idx="85">
                  <c:v>-0.83225394114513329</c:v>
                </c:pt>
                <c:pt idx="86">
                  <c:v>-1.0004504068143798</c:v>
                </c:pt>
                <c:pt idx="87">
                  <c:v>-1.2824677343564583</c:v>
                </c:pt>
                <c:pt idx="88">
                  <c:v>-1.3873788611959514</c:v>
                </c:pt>
                <c:pt idx="89">
                  <c:v>-1.4616322203526109</c:v>
                </c:pt>
                <c:pt idx="90">
                  <c:v>-1.4540666869742807</c:v>
                </c:pt>
                <c:pt idx="91">
                  <c:v>-1.8341929175963387</c:v>
                </c:pt>
                <c:pt idx="92">
                  <c:v>-1.7361588352773656</c:v>
                </c:pt>
                <c:pt idx="93">
                  <c:v>-1.5532394236560005</c:v>
                </c:pt>
                <c:pt idx="94">
                  <c:v>-1.2550618132576634</c:v>
                </c:pt>
                <c:pt idx="95">
                  <c:v>-1.1448528703734921</c:v>
                </c:pt>
                <c:pt idx="96">
                  <c:v>-1.4770833040657234</c:v>
                </c:pt>
                <c:pt idx="97">
                  <c:v>-1.5468932690701602</c:v>
                </c:pt>
                <c:pt idx="98">
                  <c:v>-1.1796392546917154</c:v>
                </c:pt>
                <c:pt idx="99">
                  <c:v>-1.2236407479342701</c:v>
                </c:pt>
                <c:pt idx="100">
                  <c:v>-0.99502684741440783</c:v>
                </c:pt>
                <c:pt idx="101">
                  <c:v>-0.26232026655345281</c:v>
                </c:pt>
                <c:pt idx="102">
                  <c:v>0.19167407327057071</c:v>
                </c:pt>
                <c:pt idx="103">
                  <c:v>0.66244679832813391</c:v>
                </c:pt>
                <c:pt idx="104">
                  <c:v>1.8532147439062499</c:v>
                </c:pt>
                <c:pt idx="105">
                  <c:v>0.73716563815910341</c:v>
                </c:pt>
                <c:pt idx="106">
                  <c:v>0.8212490793063415</c:v>
                </c:pt>
                <c:pt idx="107">
                  <c:v>0.56213426299610914</c:v>
                </c:pt>
                <c:pt idx="108">
                  <c:v>0.74485271262861252</c:v>
                </c:pt>
                <c:pt idx="109">
                  <c:v>1.1013684314938048</c:v>
                </c:pt>
                <c:pt idx="110">
                  <c:v>0.67089669442351341</c:v>
                </c:pt>
                <c:pt idx="111">
                  <c:v>-4.6802102798696531E-2</c:v>
                </c:pt>
                <c:pt idx="112">
                  <c:v>0.37303917215907018</c:v>
                </c:pt>
                <c:pt idx="113">
                  <c:v>0.81934477739318601</c:v>
                </c:pt>
                <c:pt idx="114">
                  <c:v>0.92853782703799348</c:v>
                </c:pt>
                <c:pt idx="115">
                  <c:v>0.85382271428402146</c:v>
                </c:pt>
                <c:pt idx="116">
                  <c:v>1.3110911942154526</c:v>
                </c:pt>
                <c:pt idx="117">
                  <c:v>0.87866577050979899</c:v>
                </c:pt>
                <c:pt idx="118">
                  <c:v>1.2550766708050545</c:v>
                </c:pt>
                <c:pt idx="119">
                  <c:v>2.5623560574531905</c:v>
                </c:pt>
                <c:pt idx="120">
                  <c:v>2.6454213180759618</c:v>
                </c:pt>
                <c:pt idx="121">
                  <c:v>1.5098728503817331</c:v>
                </c:pt>
                <c:pt idx="122">
                  <c:v>0.66206571038417239</c:v>
                </c:pt>
                <c:pt idx="123">
                  <c:v>0.77806824709373923</c:v>
                </c:pt>
                <c:pt idx="124">
                  <c:v>1.0951802139386766</c:v>
                </c:pt>
                <c:pt idx="125">
                  <c:v>1.3233132438142818</c:v>
                </c:pt>
                <c:pt idx="126">
                  <c:v>1.3195575495122163</c:v>
                </c:pt>
                <c:pt idx="127">
                  <c:v>0.79459164584219721</c:v>
                </c:pt>
                <c:pt idx="128">
                  <c:v>1.0318156240004139</c:v>
                </c:pt>
                <c:pt idx="129">
                  <c:v>1.1233672566736874</c:v>
                </c:pt>
                <c:pt idx="130">
                  <c:v>1.1762341761208017</c:v>
                </c:pt>
                <c:pt idx="131">
                  <c:v>1.5231621435385392</c:v>
                </c:pt>
                <c:pt idx="132">
                  <c:v>0.65122861603690163</c:v>
                </c:pt>
                <c:pt idx="133">
                  <c:v>0.52752176385257665</c:v>
                </c:pt>
                <c:pt idx="134">
                  <c:v>0.56684100233783119</c:v>
                </c:pt>
                <c:pt idx="135">
                  <c:v>0.44802755368503577</c:v>
                </c:pt>
                <c:pt idx="136">
                  <c:v>0.47020472974598254</c:v>
                </c:pt>
                <c:pt idx="137">
                  <c:v>0.65645666026644212</c:v>
                </c:pt>
                <c:pt idx="138">
                  <c:v>4.038256693745465E-2</c:v>
                </c:pt>
                <c:pt idx="139">
                  <c:v>0.79518567739255119</c:v>
                </c:pt>
                <c:pt idx="140">
                  <c:v>0.73774335018314252</c:v>
                </c:pt>
                <c:pt idx="141">
                  <c:v>0.86995209623570013</c:v>
                </c:pt>
                <c:pt idx="142">
                  <c:v>0.78337876153989139</c:v>
                </c:pt>
                <c:pt idx="143">
                  <c:v>2.8376369770462264</c:v>
                </c:pt>
                <c:pt idx="144">
                  <c:v>2.9408631150472124</c:v>
                </c:pt>
                <c:pt idx="145">
                  <c:v>2.1211295453119234</c:v>
                </c:pt>
                <c:pt idx="146">
                  <c:v>2.3289410332752079</c:v>
                </c:pt>
                <c:pt idx="147">
                  <c:v>1.7525147846562821</c:v>
                </c:pt>
                <c:pt idx="148">
                  <c:v>1.8318791988294998</c:v>
                </c:pt>
                <c:pt idx="149">
                  <c:v>1.4215808760828035</c:v>
                </c:pt>
                <c:pt idx="150">
                  <c:v>1.2567155265742433</c:v>
                </c:pt>
                <c:pt idx="151">
                  <c:v>2.0378266947487353</c:v>
                </c:pt>
                <c:pt idx="152">
                  <c:v>1.7923200073661216</c:v>
                </c:pt>
                <c:pt idx="153">
                  <c:v>2.2870971221374665</c:v>
                </c:pt>
                <c:pt idx="154">
                  <c:v>1.8297447899518497</c:v>
                </c:pt>
                <c:pt idx="155">
                  <c:v>1.7168903013908703</c:v>
                </c:pt>
                <c:pt idx="156">
                  <c:v>1.6527664705953986</c:v>
                </c:pt>
                <c:pt idx="157">
                  <c:v>1.8569510431041147</c:v>
                </c:pt>
                <c:pt idx="158">
                  <c:v>0.81744737410581392</c:v>
                </c:pt>
                <c:pt idx="159">
                  <c:v>0.88613581979931411</c:v>
                </c:pt>
                <c:pt idx="160">
                  <c:v>0.48777435249916296</c:v>
                </c:pt>
                <c:pt idx="161">
                  <c:v>0.67876276107558176</c:v>
                </c:pt>
                <c:pt idx="162">
                  <c:v>0.67604021674755599</c:v>
                </c:pt>
                <c:pt idx="163">
                  <c:v>0.67829797403663827</c:v>
                </c:pt>
                <c:pt idx="164">
                  <c:v>5.8889212887920043E-3</c:v>
                </c:pt>
                <c:pt idx="165">
                  <c:v>-0.30336368504587541</c:v>
                </c:pt>
                <c:pt idx="166">
                  <c:v>-0.27092967243490707</c:v>
                </c:pt>
                <c:pt idx="167">
                  <c:v>6.985247280735056E-2</c:v>
                </c:pt>
                <c:pt idx="168">
                  <c:v>0.42062647007736881</c:v>
                </c:pt>
                <c:pt idx="169">
                  <c:v>0.59187397596734426</c:v>
                </c:pt>
                <c:pt idx="170">
                  <c:v>0.96465262084857994</c:v>
                </c:pt>
                <c:pt idx="171">
                  <c:v>0.99685787991157238</c:v>
                </c:pt>
                <c:pt idx="172">
                  <c:v>5.5809865989971126E-2</c:v>
                </c:pt>
                <c:pt idx="173">
                  <c:v>-0.74570832451137503</c:v>
                </c:pt>
                <c:pt idx="174">
                  <c:v>0.14217583278565624</c:v>
                </c:pt>
                <c:pt idx="175">
                  <c:v>0.45038604417012784</c:v>
                </c:pt>
                <c:pt idx="176">
                  <c:v>0.73342630450536039</c:v>
                </c:pt>
                <c:pt idx="177">
                  <c:v>1.1038361118203197</c:v>
                </c:pt>
                <c:pt idx="178">
                  <c:v>0.90888912817014256</c:v>
                </c:pt>
                <c:pt idx="179">
                  <c:v>0.46886872157336884</c:v>
                </c:pt>
                <c:pt idx="180">
                  <c:v>0.44392664912235758</c:v>
                </c:pt>
                <c:pt idx="181">
                  <c:v>0.72687945133339948</c:v>
                </c:pt>
                <c:pt idx="182">
                  <c:v>0.80955450901379411</c:v>
                </c:pt>
                <c:pt idx="183">
                  <c:v>0.62778605108882612</c:v>
                </c:pt>
                <c:pt idx="184">
                  <c:v>0.7968008812900631</c:v>
                </c:pt>
                <c:pt idx="185">
                  <c:v>0.60136533425352734</c:v>
                </c:pt>
                <c:pt idx="186">
                  <c:v>0.63510760988738524</c:v>
                </c:pt>
                <c:pt idx="187">
                  <c:v>2.0718869087946494</c:v>
                </c:pt>
                <c:pt idx="188">
                  <c:v>2.4215208029748161</c:v>
                </c:pt>
                <c:pt idx="189">
                  <c:v>1.5090724924855017</c:v>
                </c:pt>
                <c:pt idx="190">
                  <c:v>1.5671929459567568</c:v>
                </c:pt>
                <c:pt idx="191">
                  <c:v>1.4928022530676566</c:v>
                </c:pt>
                <c:pt idx="192">
                  <c:v>1.2974801164825698</c:v>
                </c:pt>
                <c:pt idx="193">
                  <c:v>1.3821878390878892</c:v>
                </c:pt>
                <c:pt idx="194">
                  <c:v>1.7938518933331429</c:v>
                </c:pt>
                <c:pt idx="195">
                  <c:v>2.2113967345877783</c:v>
                </c:pt>
                <c:pt idx="196">
                  <c:v>1.5134513569898955</c:v>
                </c:pt>
                <c:pt idx="197">
                  <c:v>0.99172653534610788</c:v>
                </c:pt>
                <c:pt idx="198">
                  <c:v>0.66085109867852865</c:v>
                </c:pt>
                <c:pt idx="199">
                  <c:v>0.99009491940147354</c:v>
                </c:pt>
                <c:pt idx="200">
                  <c:v>0.93296536323751522</c:v>
                </c:pt>
                <c:pt idx="201">
                  <c:v>0.64631233366300855</c:v>
                </c:pt>
                <c:pt idx="202">
                  <c:v>0.36792055553777958</c:v>
                </c:pt>
                <c:pt idx="203">
                  <c:v>-0.76450683153091925</c:v>
                </c:pt>
                <c:pt idx="204">
                  <c:v>-0.84984515208370115</c:v>
                </c:pt>
                <c:pt idx="205">
                  <c:v>-0.72117161138147701</c:v>
                </c:pt>
                <c:pt idx="206">
                  <c:v>-0.81789929521535287</c:v>
                </c:pt>
                <c:pt idx="207">
                  <c:v>-1.8144225452532523</c:v>
                </c:pt>
                <c:pt idx="208">
                  <c:v>-1.4817038544891719</c:v>
                </c:pt>
                <c:pt idx="209">
                  <c:v>-2.0036028999509816</c:v>
                </c:pt>
                <c:pt idx="210">
                  <c:v>-1.5221289167212988</c:v>
                </c:pt>
                <c:pt idx="211">
                  <c:v>-1.4969424004179617</c:v>
                </c:pt>
                <c:pt idx="212">
                  <c:v>-1.977872054128337</c:v>
                </c:pt>
                <c:pt idx="213">
                  <c:v>-1.7053714212735351</c:v>
                </c:pt>
                <c:pt idx="214">
                  <c:v>-1.5353798890130348</c:v>
                </c:pt>
                <c:pt idx="215">
                  <c:v>-1.2749601667447497</c:v>
                </c:pt>
                <c:pt idx="216">
                  <c:v>-0.75784743792831466</c:v>
                </c:pt>
                <c:pt idx="217">
                  <c:v>-1.2103299660083142</c:v>
                </c:pt>
                <c:pt idx="218">
                  <c:v>-1.0388777499092967</c:v>
                </c:pt>
                <c:pt idx="219">
                  <c:v>-0.18795359031437692</c:v>
                </c:pt>
                <c:pt idx="220">
                  <c:v>0.45664017000227602</c:v>
                </c:pt>
                <c:pt idx="221">
                  <c:v>0.84045038007787787</c:v>
                </c:pt>
                <c:pt idx="222">
                  <c:v>0.39532978855149287</c:v>
                </c:pt>
                <c:pt idx="223">
                  <c:v>0.64565241271273544</c:v>
                </c:pt>
                <c:pt idx="224">
                  <c:v>0.9554149212323656</c:v>
                </c:pt>
                <c:pt idx="225">
                  <c:v>0.98800324379700655</c:v>
                </c:pt>
                <c:pt idx="226">
                  <c:v>2.2266221663484402</c:v>
                </c:pt>
                <c:pt idx="227">
                  <c:v>1.3629051405665868</c:v>
                </c:pt>
                <c:pt idx="228">
                  <c:v>0.83346371757399862</c:v>
                </c:pt>
                <c:pt idx="229">
                  <c:v>1.4029163907080737</c:v>
                </c:pt>
                <c:pt idx="230">
                  <c:v>1.6360883745660872</c:v>
                </c:pt>
                <c:pt idx="231">
                  <c:v>1.4670677262164844</c:v>
                </c:pt>
                <c:pt idx="232">
                  <c:v>2.5114308644403214</c:v>
                </c:pt>
                <c:pt idx="233">
                  <c:v>2.6213894239674271</c:v>
                </c:pt>
                <c:pt idx="234">
                  <c:v>2.0160619561058901</c:v>
                </c:pt>
                <c:pt idx="235">
                  <c:v>2.3414521525797598</c:v>
                </c:pt>
                <c:pt idx="236">
                  <c:v>2.4803086808505301</c:v>
                </c:pt>
                <c:pt idx="237">
                  <c:v>2.3213205625312732</c:v>
                </c:pt>
                <c:pt idx="238">
                  <c:v>2.1451389717890263</c:v>
                </c:pt>
                <c:pt idx="239">
                  <c:v>1.6327962231605531</c:v>
                </c:pt>
                <c:pt idx="240">
                  <c:v>1.8359209596894663</c:v>
                </c:pt>
                <c:pt idx="241">
                  <c:v>1.6868689492994602</c:v>
                </c:pt>
                <c:pt idx="242">
                  <c:v>1.9121758939423292</c:v>
                </c:pt>
                <c:pt idx="243">
                  <c:v>1.9950428608246238</c:v>
                </c:pt>
                <c:pt idx="244">
                  <c:v>1.8263823902871505</c:v>
                </c:pt>
                <c:pt idx="245">
                  <c:v>1.2427963027627904</c:v>
                </c:pt>
                <c:pt idx="246">
                  <c:v>0.77998380733101003</c:v>
                </c:pt>
                <c:pt idx="247">
                  <c:v>0.82854397768396926</c:v>
                </c:pt>
                <c:pt idx="248">
                  <c:v>0.70994889365237379</c:v>
                </c:pt>
                <c:pt idx="249">
                  <c:v>0.60551442381237308</c:v>
                </c:pt>
                <c:pt idx="250">
                  <c:v>0.97836188616553454</c:v>
                </c:pt>
                <c:pt idx="251">
                  <c:v>0.87007095309726079</c:v>
                </c:pt>
                <c:pt idx="252">
                  <c:v>0.68979407640633117</c:v>
                </c:pt>
                <c:pt idx="253">
                  <c:v>0.48291337382096017</c:v>
                </c:pt>
                <c:pt idx="254">
                  <c:v>0.82373276229787729</c:v>
                </c:pt>
                <c:pt idx="255">
                  <c:v>1.1423180941274937</c:v>
                </c:pt>
                <c:pt idx="256">
                  <c:v>0.51835095318468793</c:v>
                </c:pt>
                <c:pt idx="257">
                  <c:v>-0.44755805449458536</c:v>
                </c:pt>
                <c:pt idx="258">
                  <c:v>-0.19264393802803528</c:v>
                </c:pt>
                <c:pt idx="259">
                  <c:v>0.27973433540618142</c:v>
                </c:pt>
                <c:pt idx="260">
                  <c:v>-0.11751651516746728</c:v>
                </c:pt>
                <c:pt idx="261">
                  <c:v>-0.58037869671929576</c:v>
                </c:pt>
                <c:pt idx="262">
                  <c:v>-0.36787715161517703</c:v>
                </c:pt>
                <c:pt idx="263">
                  <c:v>-0.84943370996192447</c:v>
                </c:pt>
                <c:pt idx="264">
                  <c:v>-0.10591344277010009</c:v>
                </c:pt>
                <c:pt idx="265">
                  <c:v>-0.34560185249968267</c:v>
                </c:pt>
                <c:pt idx="266">
                  <c:v>-1.6541399785059335E-2</c:v>
                </c:pt>
                <c:pt idx="267">
                  <c:v>0.21531606970423983</c:v>
                </c:pt>
                <c:pt idx="268">
                  <c:v>0.19198899147335385</c:v>
                </c:pt>
                <c:pt idx="269">
                  <c:v>-6.3228658481167141E-2</c:v>
                </c:pt>
                <c:pt idx="270">
                  <c:v>0.51308911051102524</c:v>
                </c:pt>
                <c:pt idx="271">
                  <c:v>0.28639261889629058</c:v>
                </c:pt>
                <c:pt idx="272">
                  <c:v>0.42347606526854509</c:v>
                </c:pt>
                <c:pt idx="273">
                  <c:v>0.13392895279248329</c:v>
                </c:pt>
                <c:pt idx="274">
                  <c:v>0.60059131991292181</c:v>
                </c:pt>
                <c:pt idx="275">
                  <c:v>-1.12296851449984</c:v>
                </c:pt>
                <c:pt idx="276">
                  <c:v>-1.8887727030243044</c:v>
                </c:pt>
                <c:pt idx="277">
                  <c:v>-1.5400578565106957</c:v>
                </c:pt>
                <c:pt idx="278">
                  <c:v>-0.63874300657621674</c:v>
                </c:pt>
                <c:pt idx="279">
                  <c:v>-0.99037317424916649</c:v>
                </c:pt>
                <c:pt idx="280">
                  <c:v>-1.1152586059821896</c:v>
                </c:pt>
                <c:pt idx="281">
                  <c:v>-0.7932973329356473</c:v>
                </c:pt>
                <c:pt idx="282">
                  <c:v>-0.78998083198033076</c:v>
                </c:pt>
                <c:pt idx="283">
                  <c:v>-1.5540443014548539</c:v>
                </c:pt>
                <c:pt idx="284">
                  <c:v>-1.3349632437153862</c:v>
                </c:pt>
                <c:pt idx="285">
                  <c:v>-1.2710252619591289</c:v>
                </c:pt>
                <c:pt idx="286">
                  <c:v>0.16669900611316082</c:v>
                </c:pt>
                <c:pt idx="287">
                  <c:v>0.42782211067769854</c:v>
                </c:pt>
                <c:pt idx="288">
                  <c:v>1.1288726718429098</c:v>
                </c:pt>
                <c:pt idx="289">
                  <c:v>1.3075765226248079</c:v>
                </c:pt>
                <c:pt idx="290">
                  <c:v>1.0412380182161249</c:v>
                </c:pt>
                <c:pt idx="291">
                  <c:v>1.8096831130775235</c:v>
                </c:pt>
                <c:pt idx="292">
                  <c:v>2.6611491634819058</c:v>
                </c:pt>
                <c:pt idx="293">
                  <c:v>2.6811904843574479</c:v>
                </c:pt>
                <c:pt idx="294">
                  <c:v>1.7540623800470494</c:v>
                </c:pt>
                <c:pt idx="295">
                  <c:v>1.552965309200701</c:v>
                </c:pt>
                <c:pt idx="296">
                  <c:v>1.8313295433571097</c:v>
                </c:pt>
                <c:pt idx="297">
                  <c:v>2.3581240253153437</c:v>
                </c:pt>
                <c:pt idx="298">
                  <c:v>1.4111695416917385</c:v>
                </c:pt>
                <c:pt idx="299">
                  <c:v>1.990876454703183</c:v>
                </c:pt>
                <c:pt idx="300">
                  <c:v>1.8684205091095263</c:v>
                </c:pt>
                <c:pt idx="301">
                  <c:v>1.6480407339046947</c:v>
                </c:pt>
                <c:pt idx="302">
                  <c:v>1.5157097523926633</c:v>
                </c:pt>
                <c:pt idx="303">
                  <c:v>1.6441843766142015</c:v>
                </c:pt>
                <c:pt idx="304">
                  <c:v>1.3108902495353383</c:v>
                </c:pt>
                <c:pt idx="305">
                  <c:v>1.8457579628485248</c:v>
                </c:pt>
                <c:pt idx="306">
                  <c:v>1.622616513490716</c:v>
                </c:pt>
                <c:pt idx="307">
                  <c:v>0.49302150505847486</c:v>
                </c:pt>
                <c:pt idx="308">
                  <c:v>1.1292724844382032</c:v>
                </c:pt>
                <c:pt idx="309">
                  <c:v>1.3488151975807707</c:v>
                </c:pt>
                <c:pt idx="310">
                  <c:v>1.387452257848383</c:v>
                </c:pt>
                <c:pt idx="311">
                  <c:v>1.4347612567620009</c:v>
                </c:pt>
                <c:pt idx="312">
                  <c:v>1.3034710377685166</c:v>
                </c:pt>
                <c:pt idx="313">
                  <c:v>1.5710668336621776</c:v>
                </c:pt>
                <c:pt idx="314">
                  <c:v>1.7607140024914691</c:v>
                </c:pt>
                <c:pt idx="315">
                  <c:v>1.4038057282813168</c:v>
                </c:pt>
                <c:pt idx="316">
                  <c:v>1.435409551430965</c:v>
                </c:pt>
                <c:pt idx="317">
                  <c:v>1.4208265203670392</c:v>
                </c:pt>
                <c:pt idx="318">
                  <c:v>1.6942227836728545</c:v>
                </c:pt>
                <c:pt idx="319">
                  <c:v>1.4424568563282207</c:v>
                </c:pt>
                <c:pt idx="320">
                  <c:v>1.5595596316739742</c:v>
                </c:pt>
                <c:pt idx="321">
                  <c:v>1.6516277735526019</c:v>
                </c:pt>
                <c:pt idx="322">
                  <c:v>2.0419534914190911</c:v>
                </c:pt>
                <c:pt idx="323">
                  <c:v>1.763230021194051</c:v>
                </c:pt>
                <c:pt idx="324">
                  <c:v>1.7745293118980296</c:v>
                </c:pt>
                <c:pt idx="325">
                  <c:v>2.0631786116744202</c:v>
                </c:pt>
                <c:pt idx="326">
                  <c:v>1.5402312037748358</c:v>
                </c:pt>
                <c:pt idx="327">
                  <c:v>0.70153507510086244</c:v>
                </c:pt>
                <c:pt idx="328">
                  <c:v>0.35591977742628267</c:v>
                </c:pt>
                <c:pt idx="329">
                  <c:v>-0.85285848447348411</c:v>
                </c:pt>
                <c:pt idx="330">
                  <c:v>-1.0858371223592431</c:v>
                </c:pt>
                <c:pt idx="331">
                  <c:v>-1.5667850485229038</c:v>
                </c:pt>
                <c:pt idx="332">
                  <c:v>-1.9417517049665041</c:v>
                </c:pt>
                <c:pt idx="333">
                  <c:v>-1.4017472738675645</c:v>
                </c:pt>
                <c:pt idx="334">
                  <c:v>-0.84466402862654966</c:v>
                </c:pt>
                <c:pt idx="335">
                  <c:v>-0.51241942362241466</c:v>
                </c:pt>
                <c:pt idx="336">
                  <c:v>-0.36653249960220852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E7-4949-88CA-B39DC67857D9}"/>
            </c:ext>
          </c:extLst>
        </c:ser>
        <c:ser>
          <c:idx val="1"/>
          <c:order val="1"/>
          <c:tx>
            <c:strRef>
              <c:f>analysis!$N$1</c:f>
              <c:strCache>
                <c:ptCount val="1"/>
                <c:pt idx="0">
                  <c:v>Upper_Threshold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analysis!$A$31:$A$367</c:f>
              <c:numCache>
                <mc:AlternateContent xmlns:mc="http://schemas.openxmlformats.org/markup-compatibility/2006">
                  <mc:Choice Requires="c16r2">
                    <c16r2:formatcode2>[$-en-TR,1]d/mm/yyyy;@</c16r2:formatcode2>
                  </mc:Choice>
                  <mc:Fallback>
                    <c:formatCode>[$]d/mm/yyyy;@</c:formatCode>
                  </mc:Fallback>
                </mc:AlternateContent>
                <c:ptCount val="337"/>
                <c:pt idx="0">
                  <c:v>45821</c:v>
                </c:pt>
                <c:pt idx="1">
                  <c:v>45822</c:v>
                </c:pt>
                <c:pt idx="2">
                  <c:v>45823</c:v>
                </c:pt>
                <c:pt idx="3">
                  <c:v>45824</c:v>
                </c:pt>
                <c:pt idx="4">
                  <c:v>45825</c:v>
                </c:pt>
                <c:pt idx="5">
                  <c:v>45826</c:v>
                </c:pt>
                <c:pt idx="6">
                  <c:v>45827</c:v>
                </c:pt>
                <c:pt idx="7">
                  <c:v>45828</c:v>
                </c:pt>
                <c:pt idx="8">
                  <c:v>45829</c:v>
                </c:pt>
                <c:pt idx="9">
                  <c:v>45830</c:v>
                </c:pt>
                <c:pt idx="10">
                  <c:v>45831</c:v>
                </c:pt>
                <c:pt idx="11">
                  <c:v>45832</c:v>
                </c:pt>
                <c:pt idx="12">
                  <c:v>45833</c:v>
                </c:pt>
                <c:pt idx="13">
                  <c:v>45834</c:v>
                </c:pt>
                <c:pt idx="14">
                  <c:v>45835</c:v>
                </c:pt>
                <c:pt idx="15">
                  <c:v>45836</c:v>
                </c:pt>
                <c:pt idx="16">
                  <c:v>45837</c:v>
                </c:pt>
                <c:pt idx="17">
                  <c:v>45838</c:v>
                </c:pt>
                <c:pt idx="18">
                  <c:v>45839</c:v>
                </c:pt>
                <c:pt idx="19">
                  <c:v>45840</c:v>
                </c:pt>
                <c:pt idx="20">
                  <c:v>45841</c:v>
                </c:pt>
                <c:pt idx="21">
                  <c:v>45842</c:v>
                </c:pt>
                <c:pt idx="22">
                  <c:v>45843</c:v>
                </c:pt>
                <c:pt idx="23">
                  <c:v>45844</c:v>
                </c:pt>
                <c:pt idx="24">
                  <c:v>45845</c:v>
                </c:pt>
                <c:pt idx="25">
                  <c:v>45846</c:v>
                </c:pt>
                <c:pt idx="26">
                  <c:v>45847</c:v>
                </c:pt>
                <c:pt idx="27">
                  <c:v>45848</c:v>
                </c:pt>
                <c:pt idx="28">
                  <c:v>45849</c:v>
                </c:pt>
                <c:pt idx="29">
                  <c:v>45850</c:v>
                </c:pt>
                <c:pt idx="30">
                  <c:v>45851</c:v>
                </c:pt>
                <c:pt idx="31">
                  <c:v>45852</c:v>
                </c:pt>
                <c:pt idx="32">
                  <c:v>45853</c:v>
                </c:pt>
                <c:pt idx="33">
                  <c:v>45854</c:v>
                </c:pt>
                <c:pt idx="34">
                  <c:v>45855</c:v>
                </c:pt>
                <c:pt idx="35">
                  <c:v>45856</c:v>
                </c:pt>
                <c:pt idx="36">
                  <c:v>45857</c:v>
                </c:pt>
                <c:pt idx="37">
                  <c:v>45858</c:v>
                </c:pt>
                <c:pt idx="38">
                  <c:v>45859</c:v>
                </c:pt>
                <c:pt idx="39">
                  <c:v>45860</c:v>
                </c:pt>
                <c:pt idx="40">
                  <c:v>45861</c:v>
                </c:pt>
                <c:pt idx="41">
                  <c:v>45862</c:v>
                </c:pt>
                <c:pt idx="42">
                  <c:v>45863</c:v>
                </c:pt>
                <c:pt idx="43">
                  <c:v>45864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45868</c:v>
                </c:pt>
                <c:pt idx="48">
                  <c:v>45869</c:v>
                </c:pt>
                <c:pt idx="49">
                  <c:v>45870</c:v>
                </c:pt>
                <c:pt idx="50">
                  <c:v>45871</c:v>
                </c:pt>
                <c:pt idx="51">
                  <c:v>45872</c:v>
                </c:pt>
                <c:pt idx="52">
                  <c:v>45873</c:v>
                </c:pt>
                <c:pt idx="53">
                  <c:v>45874</c:v>
                </c:pt>
                <c:pt idx="54">
                  <c:v>45875</c:v>
                </c:pt>
                <c:pt idx="55">
                  <c:v>45876</c:v>
                </c:pt>
                <c:pt idx="56">
                  <c:v>45877</c:v>
                </c:pt>
                <c:pt idx="57">
                  <c:v>45878</c:v>
                </c:pt>
                <c:pt idx="58">
                  <c:v>45879</c:v>
                </c:pt>
                <c:pt idx="59">
                  <c:v>45880</c:v>
                </c:pt>
                <c:pt idx="60">
                  <c:v>45881</c:v>
                </c:pt>
                <c:pt idx="61">
                  <c:v>45882</c:v>
                </c:pt>
                <c:pt idx="62">
                  <c:v>45883</c:v>
                </c:pt>
                <c:pt idx="63">
                  <c:v>45884</c:v>
                </c:pt>
                <c:pt idx="64">
                  <c:v>45885</c:v>
                </c:pt>
                <c:pt idx="65">
                  <c:v>45886</c:v>
                </c:pt>
                <c:pt idx="66">
                  <c:v>45887</c:v>
                </c:pt>
                <c:pt idx="67">
                  <c:v>45888</c:v>
                </c:pt>
                <c:pt idx="68">
                  <c:v>45889</c:v>
                </c:pt>
                <c:pt idx="69">
                  <c:v>45890</c:v>
                </c:pt>
                <c:pt idx="70">
                  <c:v>45891</c:v>
                </c:pt>
                <c:pt idx="71">
                  <c:v>45892</c:v>
                </c:pt>
                <c:pt idx="72">
                  <c:v>45893</c:v>
                </c:pt>
                <c:pt idx="73">
                  <c:v>45894</c:v>
                </c:pt>
                <c:pt idx="74">
                  <c:v>45895</c:v>
                </c:pt>
                <c:pt idx="75">
                  <c:v>45896</c:v>
                </c:pt>
                <c:pt idx="76">
                  <c:v>45897</c:v>
                </c:pt>
                <c:pt idx="77">
                  <c:v>45898</c:v>
                </c:pt>
                <c:pt idx="78">
                  <c:v>45899</c:v>
                </c:pt>
                <c:pt idx="79">
                  <c:v>45900</c:v>
                </c:pt>
                <c:pt idx="80">
                  <c:v>45901</c:v>
                </c:pt>
                <c:pt idx="81">
                  <c:v>45902</c:v>
                </c:pt>
                <c:pt idx="82">
                  <c:v>45903</c:v>
                </c:pt>
                <c:pt idx="83">
                  <c:v>45904</c:v>
                </c:pt>
                <c:pt idx="84">
                  <c:v>45905</c:v>
                </c:pt>
                <c:pt idx="85">
                  <c:v>45906</c:v>
                </c:pt>
                <c:pt idx="86">
                  <c:v>45907</c:v>
                </c:pt>
                <c:pt idx="87">
                  <c:v>45908</c:v>
                </c:pt>
                <c:pt idx="88">
                  <c:v>45909</c:v>
                </c:pt>
                <c:pt idx="89">
                  <c:v>45910</c:v>
                </c:pt>
                <c:pt idx="90">
                  <c:v>45911</c:v>
                </c:pt>
                <c:pt idx="91">
                  <c:v>45912</c:v>
                </c:pt>
                <c:pt idx="92">
                  <c:v>45913</c:v>
                </c:pt>
                <c:pt idx="93">
                  <c:v>45914</c:v>
                </c:pt>
                <c:pt idx="94">
                  <c:v>45915</c:v>
                </c:pt>
                <c:pt idx="95">
                  <c:v>45916</c:v>
                </c:pt>
                <c:pt idx="96">
                  <c:v>45917</c:v>
                </c:pt>
                <c:pt idx="97">
                  <c:v>45918</c:v>
                </c:pt>
                <c:pt idx="98">
                  <c:v>45919</c:v>
                </c:pt>
                <c:pt idx="99">
                  <c:v>45920</c:v>
                </c:pt>
                <c:pt idx="100">
                  <c:v>45921</c:v>
                </c:pt>
                <c:pt idx="101">
                  <c:v>45922</c:v>
                </c:pt>
                <c:pt idx="102">
                  <c:v>45923</c:v>
                </c:pt>
                <c:pt idx="103">
                  <c:v>45924</c:v>
                </c:pt>
                <c:pt idx="104">
                  <c:v>45925</c:v>
                </c:pt>
                <c:pt idx="105">
                  <c:v>45926</c:v>
                </c:pt>
                <c:pt idx="106">
                  <c:v>45927</c:v>
                </c:pt>
                <c:pt idx="107">
                  <c:v>45928</c:v>
                </c:pt>
                <c:pt idx="108">
                  <c:v>45929</c:v>
                </c:pt>
                <c:pt idx="109">
                  <c:v>45930</c:v>
                </c:pt>
                <c:pt idx="110">
                  <c:v>45931</c:v>
                </c:pt>
                <c:pt idx="111">
                  <c:v>45932</c:v>
                </c:pt>
                <c:pt idx="112">
                  <c:v>45933</c:v>
                </c:pt>
                <c:pt idx="113">
                  <c:v>45934</c:v>
                </c:pt>
                <c:pt idx="114">
                  <c:v>45935</c:v>
                </c:pt>
                <c:pt idx="115">
                  <c:v>45936</c:v>
                </c:pt>
                <c:pt idx="116">
                  <c:v>45937</c:v>
                </c:pt>
                <c:pt idx="117">
                  <c:v>45938</c:v>
                </c:pt>
                <c:pt idx="118">
                  <c:v>45939</c:v>
                </c:pt>
                <c:pt idx="119">
                  <c:v>45940</c:v>
                </c:pt>
                <c:pt idx="120">
                  <c:v>45941</c:v>
                </c:pt>
                <c:pt idx="121">
                  <c:v>45942</c:v>
                </c:pt>
                <c:pt idx="122">
                  <c:v>45943</c:v>
                </c:pt>
                <c:pt idx="123">
                  <c:v>45944</c:v>
                </c:pt>
                <c:pt idx="124">
                  <c:v>45945</c:v>
                </c:pt>
                <c:pt idx="125">
                  <c:v>45946</c:v>
                </c:pt>
                <c:pt idx="126">
                  <c:v>45947</c:v>
                </c:pt>
                <c:pt idx="127">
                  <c:v>45948</c:v>
                </c:pt>
                <c:pt idx="128">
                  <c:v>45949</c:v>
                </c:pt>
                <c:pt idx="129">
                  <c:v>45950</c:v>
                </c:pt>
                <c:pt idx="130">
                  <c:v>45951</c:v>
                </c:pt>
                <c:pt idx="131">
                  <c:v>45952</c:v>
                </c:pt>
                <c:pt idx="132">
                  <c:v>45953</c:v>
                </c:pt>
                <c:pt idx="133">
                  <c:v>45954</c:v>
                </c:pt>
                <c:pt idx="134">
                  <c:v>45955</c:v>
                </c:pt>
                <c:pt idx="135">
                  <c:v>45956</c:v>
                </c:pt>
                <c:pt idx="136">
                  <c:v>45957</c:v>
                </c:pt>
                <c:pt idx="137">
                  <c:v>45958</c:v>
                </c:pt>
                <c:pt idx="138">
                  <c:v>45959</c:v>
                </c:pt>
                <c:pt idx="139">
                  <c:v>45960</c:v>
                </c:pt>
                <c:pt idx="140">
                  <c:v>45961</c:v>
                </c:pt>
                <c:pt idx="141">
                  <c:v>45962</c:v>
                </c:pt>
                <c:pt idx="142">
                  <c:v>45963</c:v>
                </c:pt>
                <c:pt idx="143">
                  <c:v>45964</c:v>
                </c:pt>
                <c:pt idx="144">
                  <c:v>45965</c:v>
                </c:pt>
                <c:pt idx="145">
                  <c:v>45966</c:v>
                </c:pt>
                <c:pt idx="146">
                  <c:v>45967</c:v>
                </c:pt>
                <c:pt idx="147">
                  <c:v>45968</c:v>
                </c:pt>
                <c:pt idx="148">
                  <c:v>45969</c:v>
                </c:pt>
                <c:pt idx="149">
                  <c:v>45970</c:v>
                </c:pt>
                <c:pt idx="150">
                  <c:v>45971</c:v>
                </c:pt>
                <c:pt idx="151">
                  <c:v>45972</c:v>
                </c:pt>
                <c:pt idx="152">
                  <c:v>45973</c:v>
                </c:pt>
                <c:pt idx="153">
                  <c:v>45974</c:v>
                </c:pt>
                <c:pt idx="154">
                  <c:v>45975</c:v>
                </c:pt>
                <c:pt idx="155">
                  <c:v>45976</c:v>
                </c:pt>
                <c:pt idx="156">
                  <c:v>45977</c:v>
                </c:pt>
                <c:pt idx="157">
                  <c:v>45978</c:v>
                </c:pt>
                <c:pt idx="158">
                  <c:v>45979</c:v>
                </c:pt>
                <c:pt idx="159">
                  <c:v>45980</c:v>
                </c:pt>
                <c:pt idx="160">
                  <c:v>45981</c:v>
                </c:pt>
                <c:pt idx="161">
                  <c:v>45982</c:v>
                </c:pt>
                <c:pt idx="162">
                  <c:v>45983</c:v>
                </c:pt>
                <c:pt idx="163">
                  <c:v>45984</c:v>
                </c:pt>
                <c:pt idx="164">
                  <c:v>45985</c:v>
                </c:pt>
                <c:pt idx="165">
                  <c:v>45986</c:v>
                </c:pt>
                <c:pt idx="166">
                  <c:v>45987</c:v>
                </c:pt>
                <c:pt idx="167">
                  <c:v>45988</c:v>
                </c:pt>
                <c:pt idx="168">
                  <c:v>45989</c:v>
                </c:pt>
                <c:pt idx="169">
                  <c:v>45990</c:v>
                </c:pt>
                <c:pt idx="170">
                  <c:v>45991</c:v>
                </c:pt>
                <c:pt idx="171">
                  <c:v>45992</c:v>
                </c:pt>
                <c:pt idx="172">
                  <c:v>45993</c:v>
                </c:pt>
                <c:pt idx="173">
                  <c:v>45994</c:v>
                </c:pt>
                <c:pt idx="174">
                  <c:v>45995</c:v>
                </c:pt>
                <c:pt idx="175">
                  <c:v>45996</c:v>
                </c:pt>
                <c:pt idx="176">
                  <c:v>45997</c:v>
                </c:pt>
                <c:pt idx="177">
                  <c:v>45998</c:v>
                </c:pt>
                <c:pt idx="178">
                  <c:v>45999</c:v>
                </c:pt>
                <c:pt idx="179">
                  <c:v>46000</c:v>
                </c:pt>
                <c:pt idx="180">
                  <c:v>46001</c:v>
                </c:pt>
                <c:pt idx="181">
                  <c:v>46002</c:v>
                </c:pt>
                <c:pt idx="182">
                  <c:v>46003</c:v>
                </c:pt>
                <c:pt idx="183">
                  <c:v>46004</c:v>
                </c:pt>
                <c:pt idx="184">
                  <c:v>46005</c:v>
                </c:pt>
                <c:pt idx="185">
                  <c:v>46006</c:v>
                </c:pt>
                <c:pt idx="186">
                  <c:v>46007</c:v>
                </c:pt>
                <c:pt idx="187">
                  <c:v>46008</c:v>
                </c:pt>
                <c:pt idx="188">
                  <c:v>46009</c:v>
                </c:pt>
                <c:pt idx="189">
                  <c:v>46010</c:v>
                </c:pt>
                <c:pt idx="190">
                  <c:v>46011</c:v>
                </c:pt>
                <c:pt idx="191">
                  <c:v>46012</c:v>
                </c:pt>
                <c:pt idx="192">
                  <c:v>46013</c:v>
                </c:pt>
                <c:pt idx="193">
                  <c:v>46014</c:v>
                </c:pt>
                <c:pt idx="194">
                  <c:v>46015</c:v>
                </c:pt>
                <c:pt idx="195">
                  <c:v>46016</c:v>
                </c:pt>
                <c:pt idx="196">
                  <c:v>46017</c:v>
                </c:pt>
                <c:pt idx="197">
                  <c:v>46018</c:v>
                </c:pt>
                <c:pt idx="198">
                  <c:v>46019</c:v>
                </c:pt>
                <c:pt idx="199">
                  <c:v>46020</c:v>
                </c:pt>
                <c:pt idx="200">
                  <c:v>46021</c:v>
                </c:pt>
                <c:pt idx="201">
                  <c:v>46022</c:v>
                </c:pt>
                <c:pt idx="202">
                  <c:v>46023</c:v>
                </c:pt>
                <c:pt idx="203">
                  <c:v>46024</c:v>
                </c:pt>
                <c:pt idx="204">
                  <c:v>46025</c:v>
                </c:pt>
                <c:pt idx="205">
                  <c:v>46026</c:v>
                </c:pt>
                <c:pt idx="206">
                  <c:v>46027</c:v>
                </c:pt>
                <c:pt idx="207">
                  <c:v>46028</c:v>
                </c:pt>
                <c:pt idx="208">
                  <c:v>46029</c:v>
                </c:pt>
                <c:pt idx="209">
                  <c:v>46030</c:v>
                </c:pt>
                <c:pt idx="210">
                  <c:v>46031</c:v>
                </c:pt>
                <c:pt idx="211">
                  <c:v>46032</c:v>
                </c:pt>
                <c:pt idx="212">
                  <c:v>46033</c:v>
                </c:pt>
                <c:pt idx="213">
                  <c:v>46034</c:v>
                </c:pt>
                <c:pt idx="214">
                  <c:v>46035</c:v>
                </c:pt>
                <c:pt idx="215">
                  <c:v>46036</c:v>
                </c:pt>
                <c:pt idx="216">
                  <c:v>46037</c:v>
                </c:pt>
                <c:pt idx="217">
                  <c:v>46038</c:v>
                </c:pt>
                <c:pt idx="218">
                  <c:v>46039</c:v>
                </c:pt>
                <c:pt idx="219">
                  <c:v>46040</c:v>
                </c:pt>
                <c:pt idx="220">
                  <c:v>46041</c:v>
                </c:pt>
                <c:pt idx="221">
                  <c:v>46042</c:v>
                </c:pt>
                <c:pt idx="222">
                  <c:v>46043</c:v>
                </c:pt>
                <c:pt idx="223">
                  <c:v>46044</c:v>
                </c:pt>
                <c:pt idx="224">
                  <c:v>46045</c:v>
                </c:pt>
                <c:pt idx="225">
                  <c:v>46046</c:v>
                </c:pt>
                <c:pt idx="226">
                  <c:v>46047</c:v>
                </c:pt>
                <c:pt idx="227">
                  <c:v>46048</c:v>
                </c:pt>
                <c:pt idx="228">
                  <c:v>46049</c:v>
                </c:pt>
                <c:pt idx="229">
                  <c:v>46050</c:v>
                </c:pt>
                <c:pt idx="230">
                  <c:v>46051</c:v>
                </c:pt>
                <c:pt idx="231">
                  <c:v>46052</c:v>
                </c:pt>
                <c:pt idx="232">
                  <c:v>46053</c:v>
                </c:pt>
                <c:pt idx="233">
                  <c:v>46054</c:v>
                </c:pt>
                <c:pt idx="234">
                  <c:v>46055</c:v>
                </c:pt>
                <c:pt idx="235">
                  <c:v>46056</c:v>
                </c:pt>
                <c:pt idx="236">
                  <c:v>46057</c:v>
                </c:pt>
                <c:pt idx="237">
                  <c:v>46058</c:v>
                </c:pt>
                <c:pt idx="238">
                  <c:v>46059</c:v>
                </c:pt>
                <c:pt idx="239">
                  <c:v>46060</c:v>
                </c:pt>
                <c:pt idx="240">
                  <c:v>46061</c:v>
                </c:pt>
                <c:pt idx="241">
                  <c:v>46062</c:v>
                </c:pt>
                <c:pt idx="242">
                  <c:v>46063</c:v>
                </c:pt>
                <c:pt idx="243">
                  <c:v>46064</c:v>
                </c:pt>
                <c:pt idx="244">
                  <c:v>46065</c:v>
                </c:pt>
                <c:pt idx="245">
                  <c:v>46066</c:v>
                </c:pt>
                <c:pt idx="246">
                  <c:v>46067</c:v>
                </c:pt>
                <c:pt idx="247">
                  <c:v>46068</c:v>
                </c:pt>
                <c:pt idx="248">
                  <c:v>46069</c:v>
                </c:pt>
                <c:pt idx="249">
                  <c:v>46070</c:v>
                </c:pt>
                <c:pt idx="250">
                  <c:v>46071</c:v>
                </c:pt>
                <c:pt idx="251">
                  <c:v>46072</c:v>
                </c:pt>
                <c:pt idx="252">
                  <c:v>46073</c:v>
                </c:pt>
                <c:pt idx="253">
                  <c:v>46074</c:v>
                </c:pt>
                <c:pt idx="254">
                  <c:v>46075</c:v>
                </c:pt>
                <c:pt idx="255">
                  <c:v>46076</c:v>
                </c:pt>
                <c:pt idx="256">
                  <c:v>46077</c:v>
                </c:pt>
                <c:pt idx="257">
                  <c:v>46078</c:v>
                </c:pt>
                <c:pt idx="258">
                  <c:v>46079</c:v>
                </c:pt>
                <c:pt idx="259">
                  <c:v>46080</c:v>
                </c:pt>
                <c:pt idx="260">
                  <c:v>46081</c:v>
                </c:pt>
                <c:pt idx="261">
                  <c:v>46082</c:v>
                </c:pt>
                <c:pt idx="262">
                  <c:v>46083</c:v>
                </c:pt>
                <c:pt idx="263">
                  <c:v>46084</c:v>
                </c:pt>
                <c:pt idx="264">
                  <c:v>46085</c:v>
                </c:pt>
                <c:pt idx="265">
                  <c:v>46086</c:v>
                </c:pt>
                <c:pt idx="266">
                  <c:v>46087</c:v>
                </c:pt>
                <c:pt idx="267">
                  <c:v>46088</c:v>
                </c:pt>
                <c:pt idx="268">
                  <c:v>46089</c:v>
                </c:pt>
                <c:pt idx="269">
                  <c:v>46090</c:v>
                </c:pt>
                <c:pt idx="270">
                  <c:v>46091</c:v>
                </c:pt>
                <c:pt idx="271">
                  <c:v>46092</c:v>
                </c:pt>
                <c:pt idx="272">
                  <c:v>46093</c:v>
                </c:pt>
                <c:pt idx="273">
                  <c:v>46094</c:v>
                </c:pt>
                <c:pt idx="274">
                  <c:v>46095</c:v>
                </c:pt>
                <c:pt idx="275">
                  <c:v>46096</c:v>
                </c:pt>
                <c:pt idx="276">
                  <c:v>46097</c:v>
                </c:pt>
                <c:pt idx="277">
                  <c:v>46098</c:v>
                </c:pt>
                <c:pt idx="278">
                  <c:v>46099</c:v>
                </c:pt>
                <c:pt idx="279">
                  <c:v>46100</c:v>
                </c:pt>
                <c:pt idx="280">
                  <c:v>46101</c:v>
                </c:pt>
                <c:pt idx="281">
                  <c:v>46102</c:v>
                </c:pt>
                <c:pt idx="282">
                  <c:v>46103</c:v>
                </c:pt>
                <c:pt idx="283">
                  <c:v>46104</c:v>
                </c:pt>
                <c:pt idx="284">
                  <c:v>46105</c:v>
                </c:pt>
                <c:pt idx="285">
                  <c:v>46106</c:v>
                </c:pt>
                <c:pt idx="286">
                  <c:v>46107</c:v>
                </c:pt>
                <c:pt idx="287">
                  <c:v>46108</c:v>
                </c:pt>
                <c:pt idx="288">
                  <c:v>46109</c:v>
                </c:pt>
                <c:pt idx="289">
                  <c:v>46110</c:v>
                </c:pt>
                <c:pt idx="290">
                  <c:v>46111</c:v>
                </c:pt>
                <c:pt idx="291">
                  <c:v>46112</c:v>
                </c:pt>
                <c:pt idx="292">
                  <c:v>46113</c:v>
                </c:pt>
                <c:pt idx="293">
                  <c:v>46114</c:v>
                </c:pt>
                <c:pt idx="294">
                  <c:v>46115</c:v>
                </c:pt>
                <c:pt idx="295">
                  <c:v>46116</c:v>
                </c:pt>
                <c:pt idx="296">
                  <c:v>46117</c:v>
                </c:pt>
                <c:pt idx="297">
                  <c:v>46118</c:v>
                </c:pt>
                <c:pt idx="298">
                  <c:v>46119</c:v>
                </c:pt>
                <c:pt idx="299">
                  <c:v>46120</c:v>
                </c:pt>
                <c:pt idx="300">
                  <c:v>46121</c:v>
                </c:pt>
                <c:pt idx="301">
                  <c:v>46122</c:v>
                </c:pt>
                <c:pt idx="302">
                  <c:v>46123</c:v>
                </c:pt>
                <c:pt idx="303">
                  <c:v>46124</c:v>
                </c:pt>
                <c:pt idx="304">
                  <c:v>46125</c:v>
                </c:pt>
                <c:pt idx="305">
                  <c:v>46126</c:v>
                </c:pt>
                <c:pt idx="306">
                  <c:v>46127</c:v>
                </c:pt>
                <c:pt idx="307">
                  <c:v>46128</c:v>
                </c:pt>
                <c:pt idx="308">
                  <c:v>46129</c:v>
                </c:pt>
                <c:pt idx="309">
                  <c:v>46130</c:v>
                </c:pt>
                <c:pt idx="310">
                  <c:v>46131</c:v>
                </c:pt>
                <c:pt idx="311">
                  <c:v>46132</c:v>
                </c:pt>
                <c:pt idx="312">
                  <c:v>46133</c:v>
                </c:pt>
                <c:pt idx="313">
                  <c:v>46134</c:v>
                </c:pt>
                <c:pt idx="314">
                  <c:v>46135</c:v>
                </c:pt>
                <c:pt idx="315">
                  <c:v>46136</c:v>
                </c:pt>
                <c:pt idx="316">
                  <c:v>46137</c:v>
                </c:pt>
                <c:pt idx="317">
                  <c:v>46138</c:v>
                </c:pt>
                <c:pt idx="318">
                  <c:v>46139</c:v>
                </c:pt>
                <c:pt idx="319">
                  <c:v>46140</c:v>
                </c:pt>
                <c:pt idx="320">
                  <c:v>46141</c:v>
                </c:pt>
                <c:pt idx="321">
                  <c:v>46142</c:v>
                </c:pt>
                <c:pt idx="322">
                  <c:v>46143</c:v>
                </c:pt>
                <c:pt idx="323">
                  <c:v>46144</c:v>
                </c:pt>
                <c:pt idx="324">
                  <c:v>46145</c:v>
                </c:pt>
                <c:pt idx="325">
                  <c:v>46146</c:v>
                </c:pt>
                <c:pt idx="326">
                  <c:v>46147</c:v>
                </c:pt>
                <c:pt idx="327">
                  <c:v>46148</c:v>
                </c:pt>
                <c:pt idx="328">
                  <c:v>46149</c:v>
                </c:pt>
                <c:pt idx="329">
                  <c:v>46150</c:v>
                </c:pt>
                <c:pt idx="330">
                  <c:v>46151</c:v>
                </c:pt>
                <c:pt idx="331">
                  <c:v>46152</c:v>
                </c:pt>
                <c:pt idx="332">
                  <c:v>46153</c:v>
                </c:pt>
                <c:pt idx="333">
                  <c:v>46154</c:v>
                </c:pt>
                <c:pt idx="334">
                  <c:v>46155</c:v>
                </c:pt>
                <c:pt idx="335">
                  <c:v>46156</c:v>
                </c:pt>
                <c:pt idx="336">
                  <c:v>46157</c:v>
                </c:pt>
              </c:numCache>
            </c:numRef>
          </c:cat>
          <c:val>
            <c:numRef>
              <c:f>analysis!$N$31:$N$367</c:f>
              <c:numCache>
                <c:formatCode>General</c:formatCode>
                <c:ptCount val="33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</c:v>
                </c:pt>
                <c:pt idx="116">
                  <c:v>2</c:v>
                </c:pt>
                <c:pt idx="117">
                  <c:v>2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2</c:v>
                </c:pt>
                <c:pt idx="149">
                  <c:v>2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2</c:v>
                </c:pt>
                <c:pt idx="161">
                  <c:v>2</c:v>
                </c:pt>
                <c:pt idx="162">
                  <c:v>2</c:v>
                </c:pt>
                <c:pt idx="163">
                  <c:v>2</c:v>
                </c:pt>
                <c:pt idx="164">
                  <c:v>2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2</c:v>
                </c:pt>
                <c:pt idx="169">
                  <c:v>2</c:v>
                </c:pt>
                <c:pt idx="170">
                  <c:v>2</c:v>
                </c:pt>
                <c:pt idx="171">
                  <c:v>2</c:v>
                </c:pt>
                <c:pt idx="172">
                  <c:v>2</c:v>
                </c:pt>
                <c:pt idx="173">
                  <c:v>2</c:v>
                </c:pt>
                <c:pt idx="174">
                  <c:v>2</c:v>
                </c:pt>
                <c:pt idx="175">
                  <c:v>2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2</c:v>
                </c:pt>
                <c:pt idx="183">
                  <c:v>2</c:v>
                </c:pt>
                <c:pt idx="184">
                  <c:v>2</c:v>
                </c:pt>
                <c:pt idx="185">
                  <c:v>2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2</c:v>
                </c:pt>
                <c:pt idx="199">
                  <c:v>2</c:v>
                </c:pt>
                <c:pt idx="200">
                  <c:v>2</c:v>
                </c:pt>
                <c:pt idx="201">
                  <c:v>2</c:v>
                </c:pt>
                <c:pt idx="202">
                  <c:v>2</c:v>
                </c:pt>
                <c:pt idx="203">
                  <c:v>2</c:v>
                </c:pt>
                <c:pt idx="204">
                  <c:v>2</c:v>
                </c:pt>
                <c:pt idx="205">
                  <c:v>2</c:v>
                </c:pt>
                <c:pt idx="206">
                  <c:v>2</c:v>
                </c:pt>
                <c:pt idx="207">
                  <c:v>2</c:v>
                </c:pt>
                <c:pt idx="208">
                  <c:v>2</c:v>
                </c:pt>
                <c:pt idx="209">
                  <c:v>2</c:v>
                </c:pt>
                <c:pt idx="210">
                  <c:v>2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2</c:v>
                </c:pt>
                <c:pt idx="219">
                  <c:v>2</c:v>
                </c:pt>
                <c:pt idx="220">
                  <c:v>2</c:v>
                </c:pt>
                <c:pt idx="221">
                  <c:v>2</c:v>
                </c:pt>
                <c:pt idx="222">
                  <c:v>2</c:v>
                </c:pt>
                <c:pt idx="223">
                  <c:v>2</c:v>
                </c:pt>
                <c:pt idx="224">
                  <c:v>2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2</c:v>
                </c:pt>
                <c:pt idx="240">
                  <c:v>2</c:v>
                </c:pt>
                <c:pt idx="241">
                  <c:v>2</c:v>
                </c:pt>
                <c:pt idx="242">
                  <c:v>2</c:v>
                </c:pt>
                <c:pt idx="243">
                  <c:v>2</c:v>
                </c:pt>
                <c:pt idx="244">
                  <c:v>2</c:v>
                </c:pt>
                <c:pt idx="245">
                  <c:v>2</c:v>
                </c:pt>
                <c:pt idx="246">
                  <c:v>2</c:v>
                </c:pt>
                <c:pt idx="247">
                  <c:v>2</c:v>
                </c:pt>
                <c:pt idx="248">
                  <c:v>2</c:v>
                </c:pt>
                <c:pt idx="249">
                  <c:v>2</c:v>
                </c:pt>
                <c:pt idx="250">
                  <c:v>2</c:v>
                </c:pt>
                <c:pt idx="251">
                  <c:v>2</c:v>
                </c:pt>
                <c:pt idx="252">
                  <c:v>2</c:v>
                </c:pt>
                <c:pt idx="253">
                  <c:v>2</c:v>
                </c:pt>
                <c:pt idx="254">
                  <c:v>2</c:v>
                </c:pt>
                <c:pt idx="255">
                  <c:v>2</c:v>
                </c:pt>
                <c:pt idx="256">
                  <c:v>2</c:v>
                </c:pt>
                <c:pt idx="257">
                  <c:v>2</c:v>
                </c:pt>
                <c:pt idx="258">
                  <c:v>2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2</c:v>
                </c:pt>
                <c:pt idx="271">
                  <c:v>2</c:v>
                </c:pt>
                <c:pt idx="272">
                  <c:v>2</c:v>
                </c:pt>
                <c:pt idx="273">
                  <c:v>2</c:v>
                </c:pt>
                <c:pt idx="274">
                  <c:v>2</c:v>
                </c:pt>
                <c:pt idx="275">
                  <c:v>2</c:v>
                </c:pt>
                <c:pt idx="276">
                  <c:v>2</c:v>
                </c:pt>
                <c:pt idx="277">
                  <c:v>2</c:v>
                </c:pt>
                <c:pt idx="278">
                  <c:v>2</c:v>
                </c:pt>
                <c:pt idx="279">
                  <c:v>2</c:v>
                </c:pt>
                <c:pt idx="280">
                  <c:v>2</c:v>
                </c:pt>
                <c:pt idx="281">
                  <c:v>2</c:v>
                </c:pt>
                <c:pt idx="282">
                  <c:v>2</c:v>
                </c:pt>
                <c:pt idx="283">
                  <c:v>2</c:v>
                </c:pt>
                <c:pt idx="284">
                  <c:v>2</c:v>
                </c:pt>
                <c:pt idx="285">
                  <c:v>2</c:v>
                </c:pt>
                <c:pt idx="286">
                  <c:v>2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2</c:v>
                </c:pt>
                <c:pt idx="291">
                  <c:v>2</c:v>
                </c:pt>
                <c:pt idx="292">
                  <c:v>2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2</c:v>
                </c:pt>
                <c:pt idx="297">
                  <c:v>2</c:v>
                </c:pt>
                <c:pt idx="298">
                  <c:v>2</c:v>
                </c:pt>
                <c:pt idx="299">
                  <c:v>2</c:v>
                </c:pt>
                <c:pt idx="300">
                  <c:v>2</c:v>
                </c:pt>
                <c:pt idx="301">
                  <c:v>2</c:v>
                </c:pt>
                <c:pt idx="302">
                  <c:v>2</c:v>
                </c:pt>
                <c:pt idx="303">
                  <c:v>2</c:v>
                </c:pt>
                <c:pt idx="304">
                  <c:v>2</c:v>
                </c:pt>
                <c:pt idx="305">
                  <c:v>2</c:v>
                </c:pt>
                <c:pt idx="306">
                  <c:v>2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2</c:v>
                </c:pt>
                <c:pt idx="316">
                  <c:v>2</c:v>
                </c:pt>
                <c:pt idx="317">
                  <c:v>2</c:v>
                </c:pt>
                <c:pt idx="318">
                  <c:v>2</c:v>
                </c:pt>
                <c:pt idx="319">
                  <c:v>2</c:v>
                </c:pt>
                <c:pt idx="320">
                  <c:v>2</c:v>
                </c:pt>
                <c:pt idx="321">
                  <c:v>2</c:v>
                </c:pt>
                <c:pt idx="322">
                  <c:v>2</c:v>
                </c:pt>
                <c:pt idx="323">
                  <c:v>2</c:v>
                </c:pt>
                <c:pt idx="324">
                  <c:v>2</c:v>
                </c:pt>
                <c:pt idx="325">
                  <c:v>2</c:v>
                </c:pt>
                <c:pt idx="326">
                  <c:v>2</c:v>
                </c:pt>
                <c:pt idx="327">
                  <c:v>2</c:v>
                </c:pt>
                <c:pt idx="328">
                  <c:v>2</c:v>
                </c:pt>
                <c:pt idx="329">
                  <c:v>2</c:v>
                </c:pt>
                <c:pt idx="330">
                  <c:v>2</c:v>
                </c:pt>
                <c:pt idx="331">
                  <c:v>2</c:v>
                </c:pt>
                <c:pt idx="332">
                  <c:v>2</c:v>
                </c:pt>
                <c:pt idx="333">
                  <c:v>2</c:v>
                </c:pt>
                <c:pt idx="334">
                  <c:v>2</c:v>
                </c:pt>
                <c:pt idx="335">
                  <c:v>2</c:v>
                </c:pt>
                <c:pt idx="33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E7-4949-88CA-B39DC67857D9}"/>
            </c:ext>
          </c:extLst>
        </c:ser>
        <c:ser>
          <c:idx val="2"/>
          <c:order val="2"/>
          <c:tx>
            <c:strRef>
              <c:f>analysis!$O$1</c:f>
              <c:strCache>
                <c:ptCount val="1"/>
                <c:pt idx="0">
                  <c:v>Lower_Threshold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analysis!$A$31:$A$367</c:f>
              <c:numCache>
                <mc:AlternateContent xmlns:mc="http://schemas.openxmlformats.org/markup-compatibility/2006">
                  <mc:Choice Requires="c16r2">
                    <c16r2:formatcode2>[$-en-TR,1]d/mm/yyyy;@</c16r2:formatcode2>
                  </mc:Choice>
                  <mc:Fallback>
                    <c:formatCode>[$]d/mm/yyyy;@</c:formatCode>
                  </mc:Fallback>
                </mc:AlternateContent>
                <c:ptCount val="337"/>
                <c:pt idx="0">
                  <c:v>45821</c:v>
                </c:pt>
                <c:pt idx="1">
                  <c:v>45822</c:v>
                </c:pt>
                <c:pt idx="2">
                  <c:v>45823</c:v>
                </c:pt>
                <c:pt idx="3">
                  <c:v>45824</c:v>
                </c:pt>
                <c:pt idx="4">
                  <c:v>45825</c:v>
                </c:pt>
                <c:pt idx="5">
                  <c:v>45826</c:v>
                </c:pt>
                <c:pt idx="6">
                  <c:v>45827</c:v>
                </c:pt>
                <c:pt idx="7">
                  <c:v>45828</c:v>
                </c:pt>
                <c:pt idx="8">
                  <c:v>45829</c:v>
                </c:pt>
                <c:pt idx="9">
                  <c:v>45830</c:v>
                </c:pt>
                <c:pt idx="10">
                  <c:v>45831</c:v>
                </c:pt>
                <c:pt idx="11">
                  <c:v>45832</c:v>
                </c:pt>
                <c:pt idx="12">
                  <c:v>45833</c:v>
                </c:pt>
                <c:pt idx="13">
                  <c:v>45834</c:v>
                </c:pt>
                <c:pt idx="14">
                  <c:v>45835</c:v>
                </c:pt>
                <c:pt idx="15">
                  <c:v>45836</c:v>
                </c:pt>
                <c:pt idx="16">
                  <c:v>45837</c:v>
                </c:pt>
                <c:pt idx="17">
                  <c:v>45838</c:v>
                </c:pt>
                <c:pt idx="18">
                  <c:v>45839</c:v>
                </c:pt>
                <c:pt idx="19">
                  <c:v>45840</c:v>
                </c:pt>
                <c:pt idx="20">
                  <c:v>45841</c:v>
                </c:pt>
                <c:pt idx="21">
                  <c:v>45842</c:v>
                </c:pt>
                <c:pt idx="22">
                  <c:v>45843</c:v>
                </c:pt>
                <c:pt idx="23">
                  <c:v>45844</c:v>
                </c:pt>
                <c:pt idx="24">
                  <c:v>45845</c:v>
                </c:pt>
                <c:pt idx="25">
                  <c:v>45846</c:v>
                </c:pt>
                <c:pt idx="26">
                  <c:v>45847</c:v>
                </c:pt>
                <c:pt idx="27">
                  <c:v>45848</c:v>
                </c:pt>
                <c:pt idx="28">
                  <c:v>45849</c:v>
                </c:pt>
                <c:pt idx="29">
                  <c:v>45850</c:v>
                </c:pt>
                <c:pt idx="30">
                  <c:v>45851</c:v>
                </c:pt>
                <c:pt idx="31">
                  <c:v>45852</c:v>
                </c:pt>
                <c:pt idx="32">
                  <c:v>45853</c:v>
                </c:pt>
                <c:pt idx="33">
                  <c:v>45854</c:v>
                </c:pt>
                <c:pt idx="34">
                  <c:v>45855</c:v>
                </c:pt>
                <c:pt idx="35">
                  <c:v>45856</c:v>
                </c:pt>
                <c:pt idx="36">
                  <c:v>45857</c:v>
                </c:pt>
                <c:pt idx="37">
                  <c:v>45858</c:v>
                </c:pt>
                <c:pt idx="38">
                  <c:v>45859</c:v>
                </c:pt>
                <c:pt idx="39">
                  <c:v>45860</c:v>
                </c:pt>
                <c:pt idx="40">
                  <c:v>45861</c:v>
                </c:pt>
                <c:pt idx="41">
                  <c:v>45862</c:v>
                </c:pt>
                <c:pt idx="42">
                  <c:v>45863</c:v>
                </c:pt>
                <c:pt idx="43">
                  <c:v>45864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45868</c:v>
                </c:pt>
                <c:pt idx="48">
                  <c:v>45869</c:v>
                </c:pt>
                <c:pt idx="49">
                  <c:v>45870</c:v>
                </c:pt>
                <c:pt idx="50">
                  <c:v>45871</c:v>
                </c:pt>
                <c:pt idx="51">
                  <c:v>45872</c:v>
                </c:pt>
                <c:pt idx="52">
                  <c:v>45873</c:v>
                </c:pt>
                <c:pt idx="53">
                  <c:v>45874</c:v>
                </c:pt>
                <c:pt idx="54">
                  <c:v>45875</c:v>
                </c:pt>
                <c:pt idx="55">
                  <c:v>45876</c:v>
                </c:pt>
                <c:pt idx="56">
                  <c:v>45877</c:v>
                </c:pt>
                <c:pt idx="57">
                  <c:v>45878</c:v>
                </c:pt>
                <c:pt idx="58">
                  <c:v>45879</c:v>
                </c:pt>
                <c:pt idx="59">
                  <c:v>45880</c:v>
                </c:pt>
                <c:pt idx="60">
                  <c:v>45881</c:v>
                </c:pt>
                <c:pt idx="61">
                  <c:v>45882</c:v>
                </c:pt>
                <c:pt idx="62">
                  <c:v>45883</c:v>
                </c:pt>
                <c:pt idx="63">
                  <c:v>45884</c:v>
                </c:pt>
                <c:pt idx="64">
                  <c:v>45885</c:v>
                </c:pt>
                <c:pt idx="65">
                  <c:v>45886</c:v>
                </c:pt>
                <c:pt idx="66">
                  <c:v>45887</c:v>
                </c:pt>
                <c:pt idx="67">
                  <c:v>45888</c:v>
                </c:pt>
                <c:pt idx="68">
                  <c:v>45889</c:v>
                </c:pt>
                <c:pt idx="69">
                  <c:v>45890</c:v>
                </c:pt>
                <c:pt idx="70">
                  <c:v>45891</c:v>
                </c:pt>
                <c:pt idx="71">
                  <c:v>45892</c:v>
                </c:pt>
                <c:pt idx="72">
                  <c:v>45893</c:v>
                </c:pt>
                <c:pt idx="73">
                  <c:v>45894</c:v>
                </c:pt>
                <c:pt idx="74">
                  <c:v>45895</c:v>
                </c:pt>
                <c:pt idx="75">
                  <c:v>45896</c:v>
                </c:pt>
                <c:pt idx="76">
                  <c:v>45897</c:v>
                </c:pt>
                <c:pt idx="77">
                  <c:v>45898</c:v>
                </c:pt>
                <c:pt idx="78">
                  <c:v>45899</c:v>
                </c:pt>
                <c:pt idx="79">
                  <c:v>45900</c:v>
                </c:pt>
                <c:pt idx="80">
                  <c:v>45901</c:v>
                </c:pt>
                <c:pt idx="81">
                  <c:v>45902</c:v>
                </c:pt>
                <c:pt idx="82">
                  <c:v>45903</c:v>
                </c:pt>
                <c:pt idx="83">
                  <c:v>45904</c:v>
                </c:pt>
                <c:pt idx="84">
                  <c:v>45905</c:v>
                </c:pt>
                <c:pt idx="85">
                  <c:v>45906</c:v>
                </c:pt>
                <c:pt idx="86">
                  <c:v>45907</c:v>
                </c:pt>
                <c:pt idx="87">
                  <c:v>45908</c:v>
                </c:pt>
                <c:pt idx="88">
                  <c:v>45909</c:v>
                </c:pt>
                <c:pt idx="89">
                  <c:v>45910</c:v>
                </c:pt>
                <c:pt idx="90">
                  <c:v>45911</c:v>
                </c:pt>
                <c:pt idx="91">
                  <c:v>45912</c:v>
                </c:pt>
                <c:pt idx="92">
                  <c:v>45913</c:v>
                </c:pt>
                <c:pt idx="93">
                  <c:v>45914</c:v>
                </c:pt>
                <c:pt idx="94">
                  <c:v>45915</c:v>
                </c:pt>
                <c:pt idx="95">
                  <c:v>45916</c:v>
                </c:pt>
                <c:pt idx="96">
                  <c:v>45917</c:v>
                </c:pt>
                <c:pt idx="97">
                  <c:v>45918</c:v>
                </c:pt>
                <c:pt idx="98">
                  <c:v>45919</c:v>
                </c:pt>
                <c:pt idx="99">
                  <c:v>45920</c:v>
                </c:pt>
                <c:pt idx="100">
                  <c:v>45921</c:v>
                </c:pt>
                <c:pt idx="101">
                  <c:v>45922</c:v>
                </c:pt>
                <c:pt idx="102">
                  <c:v>45923</c:v>
                </c:pt>
                <c:pt idx="103">
                  <c:v>45924</c:v>
                </c:pt>
                <c:pt idx="104">
                  <c:v>45925</c:v>
                </c:pt>
                <c:pt idx="105">
                  <c:v>45926</c:v>
                </c:pt>
                <c:pt idx="106">
                  <c:v>45927</c:v>
                </c:pt>
                <c:pt idx="107">
                  <c:v>45928</c:v>
                </c:pt>
                <c:pt idx="108">
                  <c:v>45929</c:v>
                </c:pt>
                <c:pt idx="109">
                  <c:v>45930</c:v>
                </c:pt>
                <c:pt idx="110">
                  <c:v>45931</c:v>
                </c:pt>
                <c:pt idx="111">
                  <c:v>45932</c:v>
                </c:pt>
                <c:pt idx="112">
                  <c:v>45933</c:v>
                </c:pt>
                <c:pt idx="113">
                  <c:v>45934</c:v>
                </c:pt>
                <c:pt idx="114">
                  <c:v>45935</c:v>
                </c:pt>
                <c:pt idx="115">
                  <c:v>45936</c:v>
                </c:pt>
                <c:pt idx="116">
                  <c:v>45937</c:v>
                </c:pt>
                <c:pt idx="117">
                  <c:v>45938</c:v>
                </c:pt>
                <c:pt idx="118">
                  <c:v>45939</c:v>
                </c:pt>
                <c:pt idx="119">
                  <c:v>45940</c:v>
                </c:pt>
                <c:pt idx="120">
                  <c:v>45941</c:v>
                </c:pt>
                <c:pt idx="121">
                  <c:v>45942</c:v>
                </c:pt>
                <c:pt idx="122">
                  <c:v>45943</c:v>
                </c:pt>
                <c:pt idx="123">
                  <c:v>45944</c:v>
                </c:pt>
                <c:pt idx="124">
                  <c:v>45945</c:v>
                </c:pt>
                <c:pt idx="125">
                  <c:v>45946</c:v>
                </c:pt>
                <c:pt idx="126">
                  <c:v>45947</c:v>
                </c:pt>
                <c:pt idx="127">
                  <c:v>45948</c:v>
                </c:pt>
                <c:pt idx="128">
                  <c:v>45949</c:v>
                </c:pt>
                <c:pt idx="129">
                  <c:v>45950</c:v>
                </c:pt>
                <c:pt idx="130">
                  <c:v>45951</c:v>
                </c:pt>
                <c:pt idx="131">
                  <c:v>45952</c:v>
                </c:pt>
                <c:pt idx="132">
                  <c:v>45953</c:v>
                </c:pt>
                <c:pt idx="133">
                  <c:v>45954</c:v>
                </c:pt>
                <c:pt idx="134">
                  <c:v>45955</c:v>
                </c:pt>
                <c:pt idx="135">
                  <c:v>45956</c:v>
                </c:pt>
                <c:pt idx="136">
                  <c:v>45957</c:v>
                </c:pt>
                <c:pt idx="137">
                  <c:v>45958</c:v>
                </c:pt>
                <c:pt idx="138">
                  <c:v>45959</c:v>
                </c:pt>
                <c:pt idx="139">
                  <c:v>45960</c:v>
                </c:pt>
                <c:pt idx="140">
                  <c:v>45961</c:v>
                </c:pt>
                <c:pt idx="141">
                  <c:v>45962</c:v>
                </c:pt>
                <c:pt idx="142">
                  <c:v>45963</c:v>
                </c:pt>
                <c:pt idx="143">
                  <c:v>45964</c:v>
                </c:pt>
                <c:pt idx="144">
                  <c:v>45965</c:v>
                </c:pt>
                <c:pt idx="145">
                  <c:v>45966</c:v>
                </c:pt>
                <c:pt idx="146">
                  <c:v>45967</c:v>
                </c:pt>
                <c:pt idx="147">
                  <c:v>45968</c:v>
                </c:pt>
                <c:pt idx="148">
                  <c:v>45969</c:v>
                </c:pt>
                <c:pt idx="149">
                  <c:v>45970</c:v>
                </c:pt>
                <c:pt idx="150">
                  <c:v>45971</c:v>
                </c:pt>
                <c:pt idx="151">
                  <c:v>45972</c:v>
                </c:pt>
                <c:pt idx="152">
                  <c:v>45973</c:v>
                </c:pt>
                <c:pt idx="153">
                  <c:v>45974</c:v>
                </c:pt>
                <c:pt idx="154">
                  <c:v>45975</c:v>
                </c:pt>
                <c:pt idx="155">
                  <c:v>45976</c:v>
                </c:pt>
                <c:pt idx="156">
                  <c:v>45977</c:v>
                </c:pt>
                <c:pt idx="157">
                  <c:v>45978</c:v>
                </c:pt>
                <c:pt idx="158">
                  <c:v>45979</c:v>
                </c:pt>
                <c:pt idx="159">
                  <c:v>45980</c:v>
                </c:pt>
                <c:pt idx="160">
                  <c:v>45981</c:v>
                </c:pt>
                <c:pt idx="161">
                  <c:v>45982</c:v>
                </c:pt>
                <c:pt idx="162">
                  <c:v>45983</c:v>
                </c:pt>
                <c:pt idx="163">
                  <c:v>45984</c:v>
                </c:pt>
                <c:pt idx="164">
                  <c:v>45985</c:v>
                </c:pt>
                <c:pt idx="165">
                  <c:v>45986</c:v>
                </c:pt>
                <c:pt idx="166">
                  <c:v>45987</c:v>
                </c:pt>
                <c:pt idx="167">
                  <c:v>45988</c:v>
                </c:pt>
                <c:pt idx="168">
                  <c:v>45989</c:v>
                </c:pt>
                <c:pt idx="169">
                  <c:v>45990</c:v>
                </c:pt>
                <c:pt idx="170">
                  <c:v>45991</c:v>
                </c:pt>
                <c:pt idx="171">
                  <c:v>45992</c:v>
                </c:pt>
                <c:pt idx="172">
                  <c:v>45993</c:v>
                </c:pt>
                <c:pt idx="173">
                  <c:v>45994</c:v>
                </c:pt>
                <c:pt idx="174">
                  <c:v>45995</c:v>
                </c:pt>
                <c:pt idx="175">
                  <c:v>45996</c:v>
                </c:pt>
                <c:pt idx="176">
                  <c:v>45997</c:v>
                </c:pt>
                <c:pt idx="177">
                  <c:v>45998</c:v>
                </c:pt>
                <c:pt idx="178">
                  <c:v>45999</c:v>
                </c:pt>
                <c:pt idx="179">
                  <c:v>46000</c:v>
                </c:pt>
                <c:pt idx="180">
                  <c:v>46001</c:v>
                </c:pt>
                <c:pt idx="181">
                  <c:v>46002</c:v>
                </c:pt>
                <c:pt idx="182">
                  <c:v>46003</c:v>
                </c:pt>
                <c:pt idx="183">
                  <c:v>46004</c:v>
                </c:pt>
                <c:pt idx="184">
                  <c:v>46005</c:v>
                </c:pt>
                <c:pt idx="185">
                  <c:v>46006</c:v>
                </c:pt>
                <c:pt idx="186">
                  <c:v>46007</c:v>
                </c:pt>
                <c:pt idx="187">
                  <c:v>46008</c:v>
                </c:pt>
                <c:pt idx="188">
                  <c:v>46009</c:v>
                </c:pt>
                <c:pt idx="189">
                  <c:v>46010</c:v>
                </c:pt>
                <c:pt idx="190">
                  <c:v>46011</c:v>
                </c:pt>
                <c:pt idx="191">
                  <c:v>46012</c:v>
                </c:pt>
                <c:pt idx="192">
                  <c:v>46013</c:v>
                </c:pt>
                <c:pt idx="193">
                  <c:v>46014</c:v>
                </c:pt>
                <c:pt idx="194">
                  <c:v>46015</c:v>
                </c:pt>
                <c:pt idx="195">
                  <c:v>46016</c:v>
                </c:pt>
                <c:pt idx="196">
                  <c:v>46017</c:v>
                </c:pt>
                <c:pt idx="197">
                  <c:v>46018</c:v>
                </c:pt>
                <c:pt idx="198">
                  <c:v>46019</c:v>
                </c:pt>
                <c:pt idx="199">
                  <c:v>46020</c:v>
                </c:pt>
                <c:pt idx="200">
                  <c:v>46021</c:v>
                </c:pt>
                <c:pt idx="201">
                  <c:v>46022</c:v>
                </c:pt>
                <c:pt idx="202">
                  <c:v>46023</c:v>
                </c:pt>
                <c:pt idx="203">
                  <c:v>46024</c:v>
                </c:pt>
                <c:pt idx="204">
                  <c:v>46025</c:v>
                </c:pt>
                <c:pt idx="205">
                  <c:v>46026</c:v>
                </c:pt>
                <c:pt idx="206">
                  <c:v>46027</c:v>
                </c:pt>
                <c:pt idx="207">
                  <c:v>46028</c:v>
                </c:pt>
                <c:pt idx="208">
                  <c:v>46029</c:v>
                </c:pt>
                <c:pt idx="209">
                  <c:v>46030</c:v>
                </c:pt>
                <c:pt idx="210">
                  <c:v>46031</c:v>
                </c:pt>
                <c:pt idx="211">
                  <c:v>46032</c:v>
                </c:pt>
                <c:pt idx="212">
                  <c:v>46033</c:v>
                </c:pt>
                <c:pt idx="213">
                  <c:v>46034</c:v>
                </c:pt>
                <c:pt idx="214">
                  <c:v>46035</c:v>
                </c:pt>
                <c:pt idx="215">
                  <c:v>46036</c:v>
                </c:pt>
                <c:pt idx="216">
                  <c:v>46037</c:v>
                </c:pt>
                <c:pt idx="217">
                  <c:v>46038</c:v>
                </c:pt>
                <c:pt idx="218">
                  <c:v>46039</c:v>
                </c:pt>
                <c:pt idx="219">
                  <c:v>46040</c:v>
                </c:pt>
                <c:pt idx="220">
                  <c:v>46041</c:v>
                </c:pt>
                <c:pt idx="221">
                  <c:v>46042</c:v>
                </c:pt>
                <c:pt idx="222">
                  <c:v>46043</c:v>
                </c:pt>
                <c:pt idx="223">
                  <c:v>46044</c:v>
                </c:pt>
                <c:pt idx="224">
                  <c:v>46045</c:v>
                </c:pt>
                <c:pt idx="225">
                  <c:v>46046</c:v>
                </c:pt>
                <c:pt idx="226">
                  <c:v>46047</c:v>
                </c:pt>
                <c:pt idx="227">
                  <c:v>46048</c:v>
                </c:pt>
                <c:pt idx="228">
                  <c:v>46049</c:v>
                </c:pt>
                <c:pt idx="229">
                  <c:v>46050</c:v>
                </c:pt>
                <c:pt idx="230">
                  <c:v>46051</c:v>
                </c:pt>
                <c:pt idx="231">
                  <c:v>46052</c:v>
                </c:pt>
                <c:pt idx="232">
                  <c:v>46053</c:v>
                </c:pt>
                <c:pt idx="233">
                  <c:v>46054</c:v>
                </c:pt>
                <c:pt idx="234">
                  <c:v>46055</c:v>
                </c:pt>
                <c:pt idx="235">
                  <c:v>46056</c:v>
                </c:pt>
                <c:pt idx="236">
                  <c:v>46057</c:v>
                </c:pt>
                <c:pt idx="237">
                  <c:v>46058</c:v>
                </c:pt>
                <c:pt idx="238">
                  <c:v>46059</c:v>
                </c:pt>
                <c:pt idx="239">
                  <c:v>46060</c:v>
                </c:pt>
                <c:pt idx="240">
                  <c:v>46061</c:v>
                </c:pt>
                <c:pt idx="241">
                  <c:v>46062</c:v>
                </c:pt>
                <c:pt idx="242">
                  <c:v>46063</c:v>
                </c:pt>
                <c:pt idx="243">
                  <c:v>46064</c:v>
                </c:pt>
                <c:pt idx="244">
                  <c:v>46065</c:v>
                </c:pt>
                <c:pt idx="245">
                  <c:v>46066</c:v>
                </c:pt>
                <c:pt idx="246">
                  <c:v>46067</c:v>
                </c:pt>
                <c:pt idx="247">
                  <c:v>46068</c:v>
                </c:pt>
                <c:pt idx="248">
                  <c:v>46069</c:v>
                </c:pt>
                <c:pt idx="249">
                  <c:v>46070</c:v>
                </c:pt>
                <c:pt idx="250">
                  <c:v>46071</c:v>
                </c:pt>
                <c:pt idx="251">
                  <c:v>46072</c:v>
                </c:pt>
                <c:pt idx="252">
                  <c:v>46073</c:v>
                </c:pt>
                <c:pt idx="253">
                  <c:v>46074</c:v>
                </c:pt>
                <c:pt idx="254">
                  <c:v>46075</c:v>
                </c:pt>
                <c:pt idx="255">
                  <c:v>46076</c:v>
                </c:pt>
                <c:pt idx="256">
                  <c:v>46077</c:v>
                </c:pt>
                <c:pt idx="257">
                  <c:v>46078</c:v>
                </c:pt>
                <c:pt idx="258">
                  <c:v>46079</c:v>
                </c:pt>
                <c:pt idx="259">
                  <c:v>46080</c:v>
                </c:pt>
                <c:pt idx="260">
                  <c:v>46081</c:v>
                </c:pt>
                <c:pt idx="261">
                  <c:v>46082</c:v>
                </c:pt>
                <c:pt idx="262">
                  <c:v>46083</c:v>
                </c:pt>
                <c:pt idx="263">
                  <c:v>46084</c:v>
                </c:pt>
                <c:pt idx="264">
                  <c:v>46085</c:v>
                </c:pt>
                <c:pt idx="265">
                  <c:v>46086</c:v>
                </c:pt>
                <c:pt idx="266">
                  <c:v>46087</c:v>
                </c:pt>
                <c:pt idx="267">
                  <c:v>46088</c:v>
                </c:pt>
                <c:pt idx="268">
                  <c:v>46089</c:v>
                </c:pt>
                <c:pt idx="269">
                  <c:v>46090</c:v>
                </c:pt>
                <c:pt idx="270">
                  <c:v>46091</c:v>
                </c:pt>
                <c:pt idx="271">
                  <c:v>46092</c:v>
                </c:pt>
                <c:pt idx="272">
                  <c:v>46093</c:v>
                </c:pt>
                <c:pt idx="273">
                  <c:v>46094</c:v>
                </c:pt>
                <c:pt idx="274">
                  <c:v>46095</c:v>
                </c:pt>
                <c:pt idx="275">
                  <c:v>46096</c:v>
                </c:pt>
                <c:pt idx="276">
                  <c:v>46097</c:v>
                </c:pt>
                <c:pt idx="277">
                  <c:v>46098</c:v>
                </c:pt>
                <c:pt idx="278">
                  <c:v>46099</c:v>
                </c:pt>
                <c:pt idx="279">
                  <c:v>46100</c:v>
                </c:pt>
                <c:pt idx="280">
                  <c:v>46101</c:v>
                </c:pt>
                <c:pt idx="281">
                  <c:v>46102</c:v>
                </c:pt>
                <c:pt idx="282">
                  <c:v>46103</c:v>
                </c:pt>
                <c:pt idx="283">
                  <c:v>46104</c:v>
                </c:pt>
                <c:pt idx="284">
                  <c:v>46105</c:v>
                </c:pt>
                <c:pt idx="285">
                  <c:v>46106</c:v>
                </c:pt>
                <c:pt idx="286">
                  <c:v>46107</c:v>
                </c:pt>
                <c:pt idx="287">
                  <c:v>46108</c:v>
                </c:pt>
                <c:pt idx="288">
                  <c:v>46109</c:v>
                </c:pt>
                <c:pt idx="289">
                  <c:v>46110</c:v>
                </c:pt>
                <c:pt idx="290">
                  <c:v>46111</c:v>
                </c:pt>
                <c:pt idx="291">
                  <c:v>46112</c:v>
                </c:pt>
                <c:pt idx="292">
                  <c:v>46113</c:v>
                </c:pt>
                <c:pt idx="293">
                  <c:v>46114</c:v>
                </c:pt>
                <c:pt idx="294">
                  <c:v>46115</c:v>
                </c:pt>
                <c:pt idx="295">
                  <c:v>46116</c:v>
                </c:pt>
                <c:pt idx="296">
                  <c:v>46117</c:v>
                </c:pt>
                <c:pt idx="297">
                  <c:v>46118</c:v>
                </c:pt>
                <c:pt idx="298">
                  <c:v>46119</c:v>
                </c:pt>
                <c:pt idx="299">
                  <c:v>46120</c:v>
                </c:pt>
                <c:pt idx="300">
                  <c:v>46121</c:v>
                </c:pt>
                <c:pt idx="301">
                  <c:v>46122</c:v>
                </c:pt>
                <c:pt idx="302">
                  <c:v>46123</c:v>
                </c:pt>
                <c:pt idx="303">
                  <c:v>46124</c:v>
                </c:pt>
                <c:pt idx="304">
                  <c:v>46125</c:v>
                </c:pt>
                <c:pt idx="305">
                  <c:v>46126</c:v>
                </c:pt>
                <c:pt idx="306">
                  <c:v>46127</c:v>
                </c:pt>
                <c:pt idx="307">
                  <c:v>46128</c:v>
                </c:pt>
                <c:pt idx="308">
                  <c:v>46129</c:v>
                </c:pt>
                <c:pt idx="309">
                  <c:v>46130</c:v>
                </c:pt>
                <c:pt idx="310">
                  <c:v>46131</c:v>
                </c:pt>
                <c:pt idx="311">
                  <c:v>46132</c:v>
                </c:pt>
                <c:pt idx="312">
                  <c:v>46133</c:v>
                </c:pt>
                <c:pt idx="313">
                  <c:v>46134</c:v>
                </c:pt>
                <c:pt idx="314">
                  <c:v>46135</c:v>
                </c:pt>
                <c:pt idx="315">
                  <c:v>46136</c:v>
                </c:pt>
                <c:pt idx="316">
                  <c:v>46137</c:v>
                </c:pt>
                <c:pt idx="317">
                  <c:v>46138</c:v>
                </c:pt>
                <c:pt idx="318">
                  <c:v>46139</c:v>
                </c:pt>
                <c:pt idx="319">
                  <c:v>46140</c:v>
                </c:pt>
                <c:pt idx="320">
                  <c:v>46141</c:v>
                </c:pt>
                <c:pt idx="321">
                  <c:v>46142</c:v>
                </c:pt>
                <c:pt idx="322">
                  <c:v>46143</c:v>
                </c:pt>
                <c:pt idx="323">
                  <c:v>46144</c:v>
                </c:pt>
                <c:pt idx="324">
                  <c:v>46145</c:v>
                </c:pt>
                <c:pt idx="325">
                  <c:v>46146</c:v>
                </c:pt>
                <c:pt idx="326">
                  <c:v>46147</c:v>
                </c:pt>
                <c:pt idx="327">
                  <c:v>46148</c:v>
                </c:pt>
                <c:pt idx="328">
                  <c:v>46149</c:v>
                </c:pt>
                <c:pt idx="329">
                  <c:v>46150</c:v>
                </c:pt>
                <c:pt idx="330">
                  <c:v>46151</c:v>
                </c:pt>
                <c:pt idx="331">
                  <c:v>46152</c:v>
                </c:pt>
                <c:pt idx="332">
                  <c:v>46153</c:v>
                </c:pt>
                <c:pt idx="333">
                  <c:v>46154</c:v>
                </c:pt>
                <c:pt idx="334">
                  <c:v>46155</c:v>
                </c:pt>
                <c:pt idx="335">
                  <c:v>46156</c:v>
                </c:pt>
                <c:pt idx="336">
                  <c:v>46157</c:v>
                </c:pt>
              </c:numCache>
            </c:numRef>
          </c:cat>
          <c:val>
            <c:numRef>
              <c:f>analysis!$O$31:$O$367</c:f>
              <c:numCache>
                <c:formatCode>General</c:formatCode>
                <c:ptCount val="337"/>
                <c:pt idx="0">
                  <c:v>-2</c:v>
                </c:pt>
                <c:pt idx="1">
                  <c:v>-2</c:v>
                </c:pt>
                <c:pt idx="2">
                  <c:v>-2</c:v>
                </c:pt>
                <c:pt idx="3">
                  <c:v>-2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-2</c:v>
                </c:pt>
                <c:pt idx="9">
                  <c:v>-2</c:v>
                </c:pt>
                <c:pt idx="10">
                  <c:v>-2</c:v>
                </c:pt>
                <c:pt idx="11">
                  <c:v>-2</c:v>
                </c:pt>
                <c:pt idx="12">
                  <c:v>-2</c:v>
                </c:pt>
                <c:pt idx="13">
                  <c:v>-2</c:v>
                </c:pt>
                <c:pt idx="14">
                  <c:v>-2</c:v>
                </c:pt>
                <c:pt idx="15">
                  <c:v>-2</c:v>
                </c:pt>
                <c:pt idx="16">
                  <c:v>-2</c:v>
                </c:pt>
                <c:pt idx="17">
                  <c:v>-2</c:v>
                </c:pt>
                <c:pt idx="18">
                  <c:v>-2</c:v>
                </c:pt>
                <c:pt idx="19">
                  <c:v>-2</c:v>
                </c:pt>
                <c:pt idx="20">
                  <c:v>-2</c:v>
                </c:pt>
                <c:pt idx="21">
                  <c:v>-2</c:v>
                </c:pt>
                <c:pt idx="22">
                  <c:v>-2</c:v>
                </c:pt>
                <c:pt idx="23">
                  <c:v>-2</c:v>
                </c:pt>
                <c:pt idx="24">
                  <c:v>-2</c:v>
                </c:pt>
                <c:pt idx="25">
                  <c:v>-2</c:v>
                </c:pt>
                <c:pt idx="26">
                  <c:v>-2</c:v>
                </c:pt>
                <c:pt idx="27">
                  <c:v>-2</c:v>
                </c:pt>
                <c:pt idx="28">
                  <c:v>-2</c:v>
                </c:pt>
                <c:pt idx="29">
                  <c:v>-2</c:v>
                </c:pt>
                <c:pt idx="30">
                  <c:v>-2</c:v>
                </c:pt>
                <c:pt idx="31">
                  <c:v>-2</c:v>
                </c:pt>
                <c:pt idx="32">
                  <c:v>-2</c:v>
                </c:pt>
                <c:pt idx="33">
                  <c:v>-2</c:v>
                </c:pt>
                <c:pt idx="34">
                  <c:v>-2</c:v>
                </c:pt>
                <c:pt idx="35">
                  <c:v>-2</c:v>
                </c:pt>
                <c:pt idx="36">
                  <c:v>-2</c:v>
                </c:pt>
                <c:pt idx="37">
                  <c:v>-2</c:v>
                </c:pt>
                <c:pt idx="38">
                  <c:v>-2</c:v>
                </c:pt>
                <c:pt idx="39">
                  <c:v>-2</c:v>
                </c:pt>
                <c:pt idx="40">
                  <c:v>-2</c:v>
                </c:pt>
                <c:pt idx="41">
                  <c:v>-2</c:v>
                </c:pt>
                <c:pt idx="42">
                  <c:v>-2</c:v>
                </c:pt>
                <c:pt idx="43">
                  <c:v>-2</c:v>
                </c:pt>
                <c:pt idx="44">
                  <c:v>-2</c:v>
                </c:pt>
                <c:pt idx="45">
                  <c:v>-2</c:v>
                </c:pt>
                <c:pt idx="46">
                  <c:v>-2</c:v>
                </c:pt>
                <c:pt idx="47">
                  <c:v>-2</c:v>
                </c:pt>
                <c:pt idx="48">
                  <c:v>-2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-2</c:v>
                </c:pt>
                <c:pt idx="58">
                  <c:v>-2</c:v>
                </c:pt>
                <c:pt idx="59">
                  <c:v>-2</c:v>
                </c:pt>
                <c:pt idx="60">
                  <c:v>-2</c:v>
                </c:pt>
                <c:pt idx="61">
                  <c:v>-2</c:v>
                </c:pt>
                <c:pt idx="62">
                  <c:v>-2</c:v>
                </c:pt>
                <c:pt idx="63">
                  <c:v>-2</c:v>
                </c:pt>
                <c:pt idx="64">
                  <c:v>-2</c:v>
                </c:pt>
                <c:pt idx="65">
                  <c:v>-2</c:v>
                </c:pt>
                <c:pt idx="66">
                  <c:v>-2</c:v>
                </c:pt>
                <c:pt idx="67">
                  <c:v>-2</c:v>
                </c:pt>
                <c:pt idx="68">
                  <c:v>-2</c:v>
                </c:pt>
                <c:pt idx="69">
                  <c:v>-2</c:v>
                </c:pt>
                <c:pt idx="70">
                  <c:v>-2</c:v>
                </c:pt>
                <c:pt idx="71">
                  <c:v>-2</c:v>
                </c:pt>
                <c:pt idx="72">
                  <c:v>-2</c:v>
                </c:pt>
                <c:pt idx="73">
                  <c:v>-2</c:v>
                </c:pt>
                <c:pt idx="74">
                  <c:v>-2</c:v>
                </c:pt>
                <c:pt idx="75">
                  <c:v>-2</c:v>
                </c:pt>
                <c:pt idx="76">
                  <c:v>-2</c:v>
                </c:pt>
                <c:pt idx="77">
                  <c:v>-2</c:v>
                </c:pt>
                <c:pt idx="78">
                  <c:v>-2</c:v>
                </c:pt>
                <c:pt idx="79">
                  <c:v>-2</c:v>
                </c:pt>
                <c:pt idx="80">
                  <c:v>-2</c:v>
                </c:pt>
                <c:pt idx="81">
                  <c:v>-2</c:v>
                </c:pt>
                <c:pt idx="82">
                  <c:v>-2</c:v>
                </c:pt>
                <c:pt idx="83">
                  <c:v>-2</c:v>
                </c:pt>
                <c:pt idx="84">
                  <c:v>-2</c:v>
                </c:pt>
                <c:pt idx="85">
                  <c:v>-2</c:v>
                </c:pt>
                <c:pt idx="86">
                  <c:v>-2</c:v>
                </c:pt>
                <c:pt idx="87">
                  <c:v>-2</c:v>
                </c:pt>
                <c:pt idx="88">
                  <c:v>-2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-2</c:v>
                </c:pt>
                <c:pt idx="94">
                  <c:v>-2</c:v>
                </c:pt>
                <c:pt idx="95">
                  <c:v>-2</c:v>
                </c:pt>
                <c:pt idx="96">
                  <c:v>-2</c:v>
                </c:pt>
                <c:pt idx="97">
                  <c:v>-2</c:v>
                </c:pt>
                <c:pt idx="98">
                  <c:v>-2</c:v>
                </c:pt>
                <c:pt idx="99">
                  <c:v>-2</c:v>
                </c:pt>
                <c:pt idx="100">
                  <c:v>-2</c:v>
                </c:pt>
                <c:pt idx="101">
                  <c:v>-2</c:v>
                </c:pt>
                <c:pt idx="102">
                  <c:v>-2</c:v>
                </c:pt>
                <c:pt idx="103">
                  <c:v>-2</c:v>
                </c:pt>
                <c:pt idx="104">
                  <c:v>-2</c:v>
                </c:pt>
                <c:pt idx="105">
                  <c:v>-2</c:v>
                </c:pt>
                <c:pt idx="106">
                  <c:v>-2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-2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-2</c:v>
                </c:pt>
                <c:pt idx="128">
                  <c:v>-2</c:v>
                </c:pt>
                <c:pt idx="129">
                  <c:v>-2</c:v>
                </c:pt>
                <c:pt idx="130">
                  <c:v>-2</c:v>
                </c:pt>
                <c:pt idx="131">
                  <c:v>-2</c:v>
                </c:pt>
                <c:pt idx="132">
                  <c:v>-2</c:v>
                </c:pt>
                <c:pt idx="133">
                  <c:v>-2</c:v>
                </c:pt>
                <c:pt idx="134">
                  <c:v>-2</c:v>
                </c:pt>
                <c:pt idx="135">
                  <c:v>-2</c:v>
                </c:pt>
                <c:pt idx="136">
                  <c:v>-2</c:v>
                </c:pt>
                <c:pt idx="137">
                  <c:v>-2</c:v>
                </c:pt>
                <c:pt idx="138">
                  <c:v>-2</c:v>
                </c:pt>
                <c:pt idx="139">
                  <c:v>-2</c:v>
                </c:pt>
                <c:pt idx="140">
                  <c:v>-2</c:v>
                </c:pt>
                <c:pt idx="141">
                  <c:v>-2</c:v>
                </c:pt>
                <c:pt idx="142">
                  <c:v>-2</c:v>
                </c:pt>
                <c:pt idx="143">
                  <c:v>-2</c:v>
                </c:pt>
                <c:pt idx="144">
                  <c:v>-2</c:v>
                </c:pt>
                <c:pt idx="145">
                  <c:v>-2</c:v>
                </c:pt>
                <c:pt idx="146">
                  <c:v>-2</c:v>
                </c:pt>
                <c:pt idx="147">
                  <c:v>-2</c:v>
                </c:pt>
                <c:pt idx="148">
                  <c:v>-2</c:v>
                </c:pt>
                <c:pt idx="149">
                  <c:v>-2</c:v>
                </c:pt>
                <c:pt idx="150">
                  <c:v>-2</c:v>
                </c:pt>
                <c:pt idx="151">
                  <c:v>-2</c:v>
                </c:pt>
                <c:pt idx="152">
                  <c:v>-2</c:v>
                </c:pt>
                <c:pt idx="153">
                  <c:v>-2</c:v>
                </c:pt>
                <c:pt idx="154">
                  <c:v>-2</c:v>
                </c:pt>
                <c:pt idx="155">
                  <c:v>-2</c:v>
                </c:pt>
                <c:pt idx="156">
                  <c:v>-2</c:v>
                </c:pt>
                <c:pt idx="157">
                  <c:v>-2</c:v>
                </c:pt>
                <c:pt idx="158">
                  <c:v>-2</c:v>
                </c:pt>
                <c:pt idx="159">
                  <c:v>-2</c:v>
                </c:pt>
                <c:pt idx="160">
                  <c:v>-2</c:v>
                </c:pt>
                <c:pt idx="161">
                  <c:v>-2</c:v>
                </c:pt>
                <c:pt idx="162">
                  <c:v>-2</c:v>
                </c:pt>
                <c:pt idx="163">
                  <c:v>-2</c:v>
                </c:pt>
                <c:pt idx="164">
                  <c:v>-2</c:v>
                </c:pt>
                <c:pt idx="165">
                  <c:v>-2</c:v>
                </c:pt>
                <c:pt idx="166">
                  <c:v>-2</c:v>
                </c:pt>
                <c:pt idx="167">
                  <c:v>-2</c:v>
                </c:pt>
                <c:pt idx="168">
                  <c:v>-2</c:v>
                </c:pt>
                <c:pt idx="169">
                  <c:v>-2</c:v>
                </c:pt>
                <c:pt idx="170">
                  <c:v>-2</c:v>
                </c:pt>
                <c:pt idx="171">
                  <c:v>-2</c:v>
                </c:pt>
                <c:pt idx="172">
                  <c:v>-2</c:v>
                </c:pt>
                <c:pt idx="173">
                  <c:v>-2</c:v>
                </c:pt>
                <c:pt idx="174">
                  <c:v>-2</c:v>
                </c:pt>
                <c:pt idx="175">
                  <c:v>-2</c:v>
                </c:pt>
                <c:pt idx="176">
                  <c:v>-2</c:v>
                </c:pt>
                <c:pt idx="177">
                  <c:v>-2</c:v>
                </c:pt>
                <c:pt idx="178">
                  <c:v>-2</c:v>
                </c:pt>
                <c:pt idx="179">
                  <c:v>-2</c:v>
                </c:pt>
                <c:pt idx="180">
                  <c:v>-2</c:v>
                </c:pt>
                <c:pt idx="181">
                  <c:v>-2</c:v>
                </c:pt>
                <c:pt idx="182">
                  <c:v>-2</c:v>
                </c:pt>
                <c:pt idx="183">
                  <c:v>-2</c:v>
                </c:pt>
                <c:pt idx="184">
                  <c:v>-2</c:v>
                </c:pt>
                <c:pt idx="185">
                  <c:v>-2</c:v>
                </c:pt>
                <c:pt idx="186">
                  <c:v>-2</c:v>
                </c:pt>
                <c:pt idx="187">
                  <c:v>-2</c:v>
                </c:pt>
                <c:pt idx="188">
                  <c:v>-2</c:v>
                </c:pt>
                <c:pt idx="189">
                  <c:v>-2</c:v>
                </c:pt>
                <c:pt idx="190">
                  <c:v>-2</c:v>
                </c:pt>
                <c:pt idx="191">
                  <c:v>-2</c:v>
                </c:pt>
                <c:pt idx="192">
                  <c:v>-2</c:v>
                </c:pt>
                <c:pt idx="193">
                  <c:v>-2</c:v>
                </c:pt>
                <c:pt idx="194">
                  <c:v>-2</c:v>
                </c:pt>
                <c:pt idx="195">
                  <c:v>-2</c:v>
                </c:pt>
                <c:pt idx="196">
                  <c:v>-2</c:v>
                </c:pt>
                <c:pt idx="197">
                  <c:v>-2</c:v>
                </c:pt>
                <c:pt idx="198">
                  <c:v>-2</c:v>
                </c:pt>
                <c:pt idx="199">
                  <c:v>-2</c:v>
                </c:pt>
                <c:pt idx="200">
                  <c:v>-2</c:v>
                </c:pt>
                <c:pt idx="201">
                  <c:v>-2</c:v>
                </c:pt>
                <c:pt idx="202">
                  <c:v>-2</c:v>
                </c:pt>
                <c:pt idx="203">
                  <c:v>-2</c:v>
                </c:pt>
                <c:pt idx="204">
                  <c:v>-2</c:v>
                </c:pt>
                <c:pt idx="205">
                  <c:v>-2</c:v>
                </c:pt>
                <c:pt idx="206">
                  <c:v>-2</c:v>
                </c:pt>
                <c:pt idx="207">
                  <c:v>-2</c:v>
                </c:pt>
                <c:pt idx="208">
                  <c:v>-2</c:v>
                </c:pt>
                <c:pt idx="209">
                  <c:v>-2</c:v>
                </c:pt>
                <c:pt idx="210">
                  <c:v>-2</c:v>
                </c:pt>
                <c:pt idx="211">
                  <c:v>-2</c:v>
                </c:pt>
                <c:pt idx="212">
                  <c:v>-2</c:v>
                </c:pt>
                <c:pt idx="213">
                  <c:v>-2</c:v>
                </c:pt>
                <c:pt idx="214">
                  <c:v>-2</c:v>
                </c:pt>
                <c:pt idx="215">
                  <c:v>-2</c:v>
                </c:pt>
                <c:pt idx="216">
                  <c:v>-2</c:v>
                </c:pt>
                <c:pt idx="217">
                  <c:v>-2</c:v>
                </c:pt>
                <c:pt idx="218">
                  <c:v>-2</c:v>
                </c:pt>
                <c:pt idx="219">
                  <c:v>-2</c:v>
                </c:pt>
                <c:pt idx="220">
                  <c:v>-2</c:v>
                </c:pt>
                <c:pt idx="221">
                  <c:v>-2</c:v>
                </c:pt>
                <c:pt idx="222">
                  <c:v>-2</c:v>
                </c:pt>
                <c:pt idx="223">
                  <c:v>-2</c:v>
                </c:pt>
                <c:pt idx="224">
                  <c:v>-2</c:v>
                </c:pt>
                <c:pt idx="225">
                  <c:v>-2</c:v>
                </c:pt>
                <c:pt idx="226">
                  <c:v>-2</c:v>
                </c:pt>
                <c:pt idx="227">
                  <c:v>-2</c:v>
                </c:pt>
                <c:pt idx="228">
                  <c:v>-2</c:v>
                </c:pt>
                <c:pt idx="229">
                  <c:v>-2</c:v>
                </c:pt>
                <c:pt idx="230">
                  <c:v>-2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-2</c:v>
                </c:pt>
                <c:pt idx="253">
                  <c:v>-2</c:v>
                </c:pt>
                <c:pt idx="254">
                  <c:v>-2</c:v>
                </c:pt>
                <c:pt idx="255">
                  <c:v>-2</c:v>
                </c:pt>
                <c:pt idx="256">
                  <c:v>-2</c:v>
                </c:pt>
                <c:pt idx="257">
                  <c:v>-2</c:v>
                </c:pt>
                <c:pt idx="258">
                  <c:v>-2</c:v>
                </c:pt>
                <c:pt idx="259">
                  <c:v>-2</c:v>
                </c:pt>
                <c:pt idx="260">
                  <c:v>-2</c:v>
                </c:pt>
                <c:pt idx="261">
                  <c:v>-2</c:v>
                </c:pt>
                <c:pt idx="262">
                  <c:v>-2</c:v>
                </c:pt>
                <c:pt idx="263">
                  <c:v>-2</c:v>
                </c:pt>
                <c:pt idx="264">
                  <c:v>-2</c:v>
                </c:pt>
                <c:pt idx="265">
                  <c:v>-2</c:v>
                </c:pt>
                <c:pt idx="266">
                  <c:v>-2</c:v>
                </c:pt>
                <c:pt idx="267">
                  <c:v>-2</c:v>
                </c:pt>
                <c:pt idx="268">
                  <c:v>-2</c:v>
                </c:pt>
                <c:pt idx="269">
                  <c:v>-2</c:v>
                </c:pt>
                <c:pt idx="270">
                  <c:v>-2</c:v>
                </c:pt>
                <c:pt idx="271">
                  <c:v>-2</c:v>
                </c:pt>
                <c:pt idx="272">
                  <c:v>-2</c:v>
                </c:pt>
                <c:pt idx="273">
                  <c:v>-2</c:v>
                </c:pt>
                <c:pt idx="274">
                  <c:v>-2</c:v>
                </c:pt>
                <c:pt idx="275">
                  <c:v>-2</c:v>
                </c:pt>
                <c:pt idx="276">
                  <c:v>-2</c:v>
                </c:pt>
                <c:pt idx="277">
                  <c:v>-2</c:v>
                </c:pt>
                <c:pt idx="278">
                  <c:v>-2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-2</c:v>
                </c:pt>
                <c:pt idx="284">
                  <c:v>-2</c:v>
                </c:pt>
                <c:pt idx="285">
                  <c:v>-2</c:v>
                </c:pt>
                <c:pt idx="286">
                  <c:v>-2</c:v>
                </c:pt>
                <c:pt idx="287">
                  <c:v>-2</c:v>
                </c:pt>
                <c:pt idx="288">
                  <c:v>-2</c:v>
                </c:pt>
                <c:pt idx="289">
                  <c:v>-2</c:v>
                </c:pt>
                <c:pt idx="290">
                  <c:v>-2</c:v>
                </c:pt>
                <c:pt idx="291">
                  <c:v>-2</c:v>
                </c:pt>
                <c:pt idx="292">
                  <c:v>-2</c:v>
                </c:pt>
                <c:pt idx="293">
                  <c:v>-2</c:v>
                </c:pt>
                <c:pt idx="294">
                  <c:v>-2</c:v>
                </c:pt>
                <c:pt idx="295">
                  <c:v>-2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-2</c:v>
                </c:pt>
                <c:pt idx="303">
                  <c:v>-2</c:v>
                </c:pt>
                <c:pt idx="304">
                  <c:v>-2</c:v>
                </c:pt>
                <c:pt idx="305">
                  <c:v>-2</c:v>
                </c:pt>
                <c:pt idx="306">
                  <c:v>-2</c:v>
                </c:pt>
                <c:pt idx="307">
                  <c:v>-2</c:v>
                </c:pt>
                <c:pt idx="308">
                  <c:v>-2</c:v>
                </c:pt>
                <c:pt idx="309">
                  <c:v>-2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</c:v>
                </c:pt>
                <c:pt idx="314">
                  <c:v>-2</c:v>
                </c:pt>
                <c:pt idx="315">
                  <c:v>-2</c:v>
                </c:pt>
                <c:pt idx="316">
                  <c:v>-2</c:v>
                </c:pt>
                <c:pt idx="317">
                  <c:v>-2</c:v>
                </c:pt>
                <c:pt idx="318">
                  <c:v>-2</c:v>
                </c:pt>
                <c:pt idx="319">
                  <c:v>-2</c:v>
                </c:pt>
                <c:pt idx="320">
                  <c:v>-2</c:v>
                </c:pt>
                <c:pt idx="321">
                  <c:v>-2</c:v>
                </c:pt>
                <c:pt idx="322">
                  <c:v>-2</c:v>
                </c:pt>
                <c:pt idx="323">
                  <c:v>-2</c:v>
                </c:pt>
                <c:pt idx="324">
                  <c:v>-2</c:v>
                </c:pt>
                <c:pt idx="325">
                  <c:v>-2</c:v>
                </c:pt>
                <c:pt idx="326">
                  <c:v>-2</c:v>
                </c:pt>
                <c:pt idx="327">
                  <c:v>-2</c:v>
                </c:pt>
                <c:pt idx="328">
                  <c:v>-2</c:v>
                </c:pt>
                <c:pt idx="329">
                  <c:v>-2</c:v>
                </c:pt>
                <c:pt idx="330">
                  <c:v>-2</c:v>
                </c:pt>
                <c:pt idx="331">
                  <c:v>-2</c:v>
                </c:pt>
                <c:pt idx="332">
                  <c:v>-2</c:v>
                </c:pt>
                <c:pt idx="333">
                  <c:v>-2</c:v>
                </c:pt>
                <c:pt idx="334">
                  <c:v>-2</c:v>
                </c:pt>
                <c:pt idx="335">
                  <c:v>-2</c:v>
                </c:pt>
                <c:pt idx="336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E7-4949-88CA-B39DC67857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9978560"/>
        <c:axId val="939970496"/>
      </c:lineChart>
      <c:dateAx>
        <c:axId val="939978560"/>
        <c:scaling>
          <c:orientation val="minMax"/>
        </c:scaling>
        <c:delete val="0"/>
        <c:axPos val="b"/>
        <c:numFmt formatCode="[$]d/mm/yyyy;@" c16r2:formatcode2="[$-en-TR,1]d/mm/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939970496"/>
        <c:crosses val="autoZero"/>
        <c:auto val="1"/>
        <c:lblOffset val="100"/>
        <c:baseTimeUnit val="days"/>
      </c:dateAx>
      <c:valAx>
        <c:axId val="93997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93997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444500</xdr:colOff>
      <xdr:row>3</xdr:row>
      <xdr:rowOff>25400</xdr:rowOff>
    </xdr:from>
    <xdr:to>
      <xdr:col>8</xdr:col>
      <xdr:colOff>1566334</xdr:colOff>
      <xdr:row>20</xdr:row>
      <xdr:rowOff>197556</xdr:rowOff>
    </xdr:to>
    <xdr:graphicFrame macro="">
      <xdr:nvGraphicFramePr>
        <xdr:cNvPr id="4" name="BTC/SOL Ratio 30-Day Z-Score">
          <a:extLst>
            <a:ext uri="{FF2B5EF4-FFF2-40B4-BE49-F238E27FC236}">
              <a16:creationId xmlns:a16="http://schemas.microsoft.com/office/drawing/2014/main" id="{58A2F1F1-1CA4-31DB-5AC5-96E07A45AD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68B560A-861A-104F-A630-D62083291310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Symbol" tableColumnId="2"/>
      <queryTableField id="3" name="OpenTimeUTC" tableColumnId="3"/>
      <queryTableField id="4" name="Open" tableColumnId="4"/>
      <queryTableField id="5" name="High" tableColumnId="5"/>
      <queryTableField id="6" name="Low" tableColumnId="6"/>
      <queryTableField id="7" name="Close" tableColumnId="7"/>
      <queryTableField id="8" name="Volume" tableColumnId="8"/>
      <queryTableField id="9" name="CloseTimeUTC" tableColumnId="9"/>
      <queryTableField id="10" name="QuoteVolume" tableColumnId="10"/>
      <queryTableField id="11" name="NumberOfTrades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4E712F4-4057-3D4E-9CE3-54F32E8F34B6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Symbol" tableColumnId="2"/>
      <queryTableField id="3" name="OpenTimeUTC" tableColumnId="3"/>
      <queryTableField id="4" name="Open" tableColumnId="4"/>
      <queryTableField id="5" name="High" tableColumnId="5"/>
      <queryTableField id="6" name="Low" tableColumnId="6"/>
      <queryTableField id="7" name="Close" tableColumnId="7"/>
      <queryTableField id="8" name="Volume" tableColumnId="8"/>
      <queryTableField id="9" name="CloseTimeUTC" tableColumnId="9"/>
      <queryTableField id="10" name="QuoteVolume" tableColumnId="10"/>
      <queryTableField id="11" name="NumberOfTrade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C688BB-927A-BA40-8555-F8489286EFD6}" name="tbl_btc_daily" displayName="tbl_btc_daily" ref="A1:K367" tableType="queryTable" totalsRowShown="0">
  <autoFilter ref="A1:K367" xr:uid="{69C688BB-927A-BA40-8555-F8489286EFD6}"/>
  <tableColumns count="11">
    <tableColumn id="1" xr3:uid="{C5383BE3-A423-424B-9B31-6C71FCD356F8}" uniqueName="1" name="Date" queryTableFieldId="1" dataDxfId="7"/>
    <tableColumn id="2" xr3:uid="{57DB4FBD-00DD-3047-BBA8-8C9AE1FB5F3C}" uniqueName="2" name="Symbol" queryTableFieldId="2" dataDxfId="6"/>
    <tableColumn id="3" xr3:uid="{82C48332-F99D-8C44-BCBF-DE753DC2D734}" uniqueName="3" name="OpenTimeUTC" queryTableFieldId="3" dataDxfId="5"/>
    <tableColumn id="4" xr3:uid="{4F53414F-F23E-CB4F-8FB0-A92E2A93D273}" uniqueName="4" name="Open" queryTableFieldId="4"/>
    <tableColumn id="5" xr3:uid="{67B68AF8-8527-7649-ADAC-F5E391E83736}" uniqueName="5" name="High" queryTableFieldId="5"/>
    <tableColumn id="6" xr3:uid="{18094E24-BCC9-9F4D-B677-BABC21E9FEB4}" uniqueName="6" name="Low" queryTableFieldId="6"/>
    <tableColumn id="7" xr3:uid="{425E1503-45EA-ED46-ADEF-B6A297BBDE9A}" uniqueName="7" name="Close" queryTableFieldId="7"/>
    <tableColumn id="8" xr3:uid="{37D5D6FE-99C9-F64D-91E8-009CCE093804}" uniqueName="8" name="Volume" queryTableFieldId="8"/>
    <tableColumn id="9" xr3:uid="{A1345EB1-7501-A448-ADF0-42A5A50D9695}" uniqueName="9" name="CloseTimeUTC" queryTableFieldId="9" dataDxfId="4"/>
    <tableColumn id="10" xr3:uid="{30E2513B-4735-2D40-A893-9B988FF0050A}" uniqueName="10" name="QuoteVolume" queryTableFieldId="10"/>
    <tableColumn id="11" xr3:uid="{D9A0227B-952F-5044-B9F9-9EED2925517C}" uniqueName="11" name="NumberOfTrades" queryTableFieldId="11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0EF496-30CB-834F-86FD-B83C1C5C03BB}" name="tbl_sol_daily" displayName="tbl_sol_daily" ref="A1:K367" tableType="queryTable" totalsRowShown="0">
  <autoFilter ref="A1:K367" xr:uid="{800EF496-30CB-834F-86FD-B83C1C5C03BB}"/>
  <tableColumns count="11">
    <tableColumn id="1" xr3:uid="{938BB61D-36A0-4545-BF75-561E429C8149}" uniqueName="1" name="Date" queryTableFieldId="1" dataDxfId="3"/>
    <tableColumn id="2" xr3:uid="{942E0305-686C-D347-9596-BB5FE45F989E}" uniqueName="2" name="Symbol" queryTableFieldId="2" dataDxfId="2"/>
    <tableColumn id="3" xr3:uid="{88FB34B8-319D-1A4D-98FB-5F6D4A45DFC5}" uniqueName="3" name="OpenTimeUTC" queryTableFieldId="3" dataDxfId="1"/>
    <tableColumn id="4" xr3:uid="{CE63636D-ACE2-874A-B442-485F15C46F0F}" uniqueName="4" name="Open" queryTableFieldId="4"/>
    <tableColumn id="5" xr3:uid="{D0D60C18-080D-2F45-8EF1-68F1C44CF9E3}" uniqueName="5" name="High" queryTableFieldId="5"/>
    <tableColumn id="6" xr3:uid="{138A4F0E-565F-BD42-88DE-FD393CAEFFBD}" uniqueName="6" name="Low" queryTableFieldId="6"/>
    <tableColumn id="7" xr3:uid="{61D15F30-D0BA-264D-9FC0-82382A20AB10}" uniqueName="7" name="Close" queryTableFieldId="7"/>
    <tableColumn id="8" xr3:uid="{2F56D023-1269-5B44-B711-9717412775C2}" uniqueName="8" name="Volume" queryTableFieldId="8"/>
    <tableColumn id="9" xr3:uid="{75362C39-6E67-3D4E-A59E-C2E7F01C38B2}" uniqueName="9" name="CloseTimeUTC" queryTableFieldId="9" dataDxfId="0"/>
    <tableColumn id="10" xr3:uid="{4D244FA9-9535-274D-A2DB-AF210A622DE4}" uniqueName="10" name="QuoteVolume" queryTableFieldId="10"/>
    <tableColumn id="11" xr3:uid="{DB25BD60-B386-8446-A9EA-498E5FB83768}" uniqueName="11" name="NumberOfTrades" queryTableFieldId="11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2A744-2559-F347-845D-2B265EA5F15A}">
  <dimension ref="A1:K367"/>
  <sheetViews>
    <sheetView workbookViewId="0">
      <selection activeCell="B5" sqref="B5"/>
    </sheetView>
  </sheetViews>
  <sheetFormatPr baseColWidth="10" defaultRowHeight="16" x14ac:dyDescent="0.2"/>
  <cols>
    <col min="1" max="1" width="10.1640625" bestFit="1" customWidth="1"/>
    <col min="2" max="2" width="9.5" bestFit="1" customWidth="1"/>
    <col min="3" max="3" width="15.1640625" bestFit="1" customWidth="1"/>
    <col min="4" max="8" width="10.1640625" bestFit="1" customWidth="1"/>
    <col min="9" max="9" width="15.5" bestFit="1" customWidth="1"/>
    <col min="10" max="10" width="14.6640625" bestFit="1" customWidth="1"/>
    <col min="11" max="11" width="17.3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>
        <v>45792</v>
      </c>
      <c r="B2" t="s">
        <v>11</v>
      </c>
      <c r="C2" s="2">
        <v>45792.125</v>
      </c>
      <c r="D2">
        <v>103522.43</v>
      </c>
      <c r="E2">
        <v>104099.96</v>
      </c>
      <c r="F2">
        <v>101456.73</v>
      </c>
      <c r="G2">
        <v>103851.28</v>
      </c>
      <c r="H2">
        <v>15.836679999999999</v>
      </c>
      <c r="I2" s="2">
        <v>45793.124999988424</v>
      </c>
      <c r="J2">
        <v>1625311.2203595999</v>
      </c>
      <c r="K2">
        <v>2166</v>
      </c>
    </row>
    <row r="3" spans="1:11" x14ac:dyDescent="0.2">
      <c r="A3" s="1">
        <v>45793</v>
      </c>
      <c r="B3" t="s">
        <v>11</v>
      </c>
      <c r="C3" s="2">
        <v>45793.125</v>
      </c>
      <c r="D3">
        <v>103791.23</v>
      </c>
      <c r="E3">
        <v>104485.87</v>
      </c>
      <c r="F3">
        <v>103166.34</v>
      </c>
      <c r="G3">
        <v>103397.56</v>
      </c>
      <c r="H3">
        <v>5.4532100000000003</v>
      </c>
      <c r="I3" s="2">
        <v>45794.124999988424</v>
      </c>
      <c r="J3">
        <v>566190.12439300003</v>
      </c>
      <c r="K3">
        <v>1243</v>
      </c>
    </row>
    <row r="4" spans="1:11" x14ac:dyDescent="0.2">
      <c r="A4" s="1">
        <v>45794</v>
      </c>
      <c r="B4" t="s">
        <v>11</v>
      </c>
      <c r="C4" s="2">
        <v>45794.125</v>
      </c>
      <c r="D4">
        <v>103510.15</v>
      </c>
      <c r="E4">
        <v>103680.99</v>
      </c>
      <c r="F4">
        <v>102618.04</v>
      </c>
      <c r="G4">
        <v>103103.36</v>
      </c>
      <c r="H4">
        <v>3.9756900000000002</v>
      </c>
      <c r="I4" s="2">
        <v>45795.124999988424</v>
      </c>
      <c r="J4">
        <v>409526.69885520003</v>
      </c>
      <c r="K4">
        <v>887</v>
      </c>
    </row>
    <row r="5" spans="1:11" x14ac:dyDescent="0.2">
      <c r="A5" s="1">
        <v>45795</v>
      </c>
      <c r="B5" t="s">
        <v>11</v>
      </c>
      <c r="C5" s="2">
        <v>45795.125</v>
      </c>
      <c r="D5">
        <v>103137.37</v>
      </c>
      <c r="E5">
        <v>106452.63</v>
      </c>
      <c r="F5">
        <v>103065.62</v>
      </c>
      <c r="G5">
        <v>106452.63</v>
      </c>
      <c r="H5">
        <v>17.8504</v>
      </c>
      <c r="I5" s="2">
        <v>45796.124999988424</v>
      </c>
      <c r="J5">
        <v>1871374.6799343</v>
      </c>
      <c r="K5">
        <v>2829</v>
      </c>
    </row>
    <row r="6" spans="1:11" x14ac:dyDescent="0.2">
      <c r="A6" s="1">
        <v>45796</v>
      </c>
      <c r="B6" t="s">
        <v>11</v>
      </c>
      <c r="C6" s="2">
        <v>45796.125</v>
      </c>
      <c r="D6">
        <v>106452.63</v>
      </c>
      <c r="E6">
        <v>106953.35</v>
      </c>
      <c r="F6">
        <v>102089.43</v>
      </c>
      <c r="G6">
        <v>105656.99</v>
      </c>
      <c r="H6">
        <v>17.911049999999999</v>
      </c>
      <c r="I6" s="2">
        <v>45797.124999988424</v>
      </c>
      <c r="J6">
        <v>1864917.8553599</v>
      </c>
      <c r="K6">
        <v>2844</v>
      </c>
    </row>
    <row r="7" spans="1:11" x14ac:dyDescent="0.2">
      <c r="A7" s="1">
        <v>45797</v>
      </c>
      <c r="B7" t="s">
        <v>11</v>
      </c>
      <c r="C7" s="2">
        <v>45797.125</v>
      </c>
      <c r="D7">
        <v>105637.6</v>
      </c>
      <c r="E7">
        <v>107000</v>
      </c>
      <c r="F7">
        <v>104226.22</v>
      </c>
      <c r="G7">
        <v>106700</v>
      </c>
      <c r="H7">
        <v>18.515999999999998</v>
      </c>
      <c r="I7" s="2">
        <v>45798.124999988424</v>
      </c>
      <c r="J7">
        <v>1964431.8830500001</v>
      </c>
      <c r="K7">
        <v>2728</v>
      </c>
    </row>
    <row r="8" spans="1:11" x14ac:dyDescent="0.2">
      <c r="A8" s="1">
        <v>45798</v>
      </c>
      <c r="B8" t="s">
        <v>11</v>
      </c>
      <c r="C8" s="2">
        <v>45798.125</v>
      </c>
      <c r="D8">
        <v>106803.18</v>
      </c>
      <c r="E8">
        <v>110268.76</v>
      </c>
      <c r="F8">
        <v>106185.74</v>
      </c>
      <c r="G8">
        <v>109578.68</v>
      </c>
      <c r="H8">
        <v>60.840359999999997</v>
      </c>
      <c r="I8" s="2">
        <v>45799.124999988424</v>
      </c>
      <c r="J8">
        <v>6566070.9266229998</v>
      </c>
      <c r="K8">
        <v>6632</v>
      </c>
    </row>
    <row r="9" spans="1:11" x14ac:dyDescent="0.2">
      <c r="A9" s="1">
        <v>45799</v>
      </c>
      <c r="B9" t="s">
        <v>11</v>
      </c>
      <c r="C9" s="2">
        <v>45799.125</v>
      </c>
      <c r="D9">
        <v>109593.03</v>
      </c>
      <c r="E9">
        <v>111945.48</v>
      </c>
      <c r="F9">
        <v>109246.53</v>
      </c>
      <c r="G9">
        <v>111699</v>
      </c>
      <c r="H9">
        <v>27.532979999999998</v>
      </c>
      <c r="I9" s="2">
        <v>45800.124999988424</v>
      </c>
      <c r="J9">
        <v>3057831.6617732998</v>
      </c>
      <c r="K9">
        <v>3593</v>
      </c>
    </row>
    <row r="10" spans="1:11" x14ac:dyDescent="0.2">
      <c r="A10" s="1">
        <v>45800</v>
      </c>
      <c r="B10" t="s">
        <v>11</v>
      </c>
      <c r="C10" s="2">
        <v>45800.125</v>
      </c>
      <c r="D10">
        <v>111698.95</v>
      </c>
      <c r="E10">
        <v>111766.14</v>
      </c>
      <c r="F10">
        <v>106862.04</v>
      </c>
      <c r="G10">
        <v>107306.01</v>
      </c>
      <c r="H10">
        <v>16.27045</v>
      </c>
      <c r="I10" s="2">
        <v>45801.124999988424</v>
      </c>
      <c r="J10">
        <v>1785526.601117</v>
      </c>
      <c r="K10">
        <v>2736</v>
      </c>
    </row>
    <row r="11" spans="1:11" x14ac:dyDescent="0.2">
      <c r="A11" s="1">
        <v>45801</v>
      </c>
      <c r="B11" t="s">
        <v>11</v>
      </c>
      <c r="C11" s="2">
        <v>45801.125</v>
      </c>
      <c r="D11">
        <v>107363.84</v>
      </c>
      <c r="E11">
        <v>109432.68</v>
      </c>
      <c r="F11">
        <v>106915.38</v>
      </c>
      <c r="G11">
        <v>107839.94</v>
      </c>
      <c r="H11">
        <v>10.1739</v>
      </c>
      <c r="I11" s="2">
        <v>45802.124999988424</v>
      </c>
      <c r="J11">
        <v>1102214.8532274</v>
      </c>
      <c r="K11">
        <v>1201</v>
      </c>
    </row>
    <row r="12" spans="1:11" x14ac:dyDescent="0.2">
      <c r="A12" s="1">
        <v>45802</v>
      </c>
      <c r="B12" t="s">
        <v>11</v>
      </c>
      <c r="C12" s="2">
        <v>45802.125</v>
      </c>
      <c r="D12">
        <v>107839.73</v>
      </c>
      <c r="E12">
        <v>109291.08</v>
      </c>
      <c r="F12">
        <v>106687.21</v>
      </c>
      <c r="G12">
        <v>108917.86</v>
      </c>
      <c r="H12">
        <v>7.5201099999999999</v>
      </c>
      <c r="I12" s="2">
        <v>45803.124999988424</v>
      </c>
      <c r="J12">
        <v>808512.92674130003</v>
      </c>
      <c r="K12">
        <v>1375</v>
      </c>
    </row>
    <row r="13" spans="1:11" x14ac:dyDescent="0.2">
      <c r="A13" s="1">
        <v>45803</v>
      </c>
      <c r="B13" t="s">
        <v>11</v>
      </c>
      <c r="C13" s="2">
        <v>45803.125</v>
      </c>
      <c r="D13">
        <v>108956.56</v>
      </c>
      <c r="E13">
        <v>110371.05</v>
      </c>
      <c r="F13">
        <v>108700</v>
      </c>
      <c r="G13">
        <v>109435.45</v>
      </c>
      <c r="H13">
        <v>6.0652499999999998</v>
      </c>
      <c r="I13" s="2">
        <v>45804.124999988424</v>
      </c>
      <c r="J13">
        <v>664490.187271</v>
      </c>
      <c r="K13">
        <v>1329</v>
      </c>
    </row>
    <row r="14" spans="1:11" x14ac:dyDescent="0.2">
      <c r="A14" s="1">
        <v>45804</v>
      </c>
      <c r="B14" t="s">
        <v>11</v>
      </c>
      <c r="C14" s="2">
        <v>45804.125</v>
      </c>
      <c r="D14">
        <v>109456.61</v>
      </c>
      <c r="E14">
        <v>110688.47</v>
      </c>
      <c r="F14">
        <v>107494.41</v>
      </c>
      <c r="G14">
        <v>108949.43</v>
      </c>
      <c r="H14">
        <v>11.499499999999999</v>
      </c>
      <c r="I14" s="2">
        <v>45805.124999988424</v>
      </c>
      <c r="J14">
        <v>1255651.4021383</v>
      </c>
      <c r="K14">
        <v>2014</v>
      </c>
    </row>
    <row r="15" spans="1:11" x14ac:dyDescent="0.2">
      <c r="A15" s="1">
        <v>45805</v>
      </c>
      <c r="B15" t="s">
        <v>11</v>
      </c>
      <c r="C15" s="2">
        <v>45805.125</v>
      </c>
      <c r="D15">
        <v>108879.08</v>
      </c>
      <c r="E15">
        <v>109390.99</v>
      </c>
      <c r="F15">
        <v>106880</v>
      </c>
      <c r="G15">
        <v>107747.33</v>
      </c>
      <c r="H15">
        <v>12.422370000000001</v>
      </c>
      <c r="I15" s="2">
        <v>45806.124999988424</v>
      </c>
      <c r="J15">
        <v>1342979.0309603999</v>
      </c>
      <c r="K15">
        <v>1586</v>
      </c>
    </row>
    <row r="16" spans="1:11" x14ac:dyDescent="0.2">
      <c r="A16" s="1">
        <v>45806</v>
      </c>
      <c r="B16" t="s">
        <v>11</v>
      </c>
      <c r="C16" s="2">
        <v>45806.125</v>
      </c>
      <c r="D16">
        <v>107746.82</v>
      </c>
      <c r="E16">
        <v>108843.86</v>
      </c>
      <c r="F16">
        <v>105413.06</v>
      </c>
      <c r="G16">
        <v>105703.38</v>
      </c>
      <c r="H16">
        <v>13.442640000000001</v>
      </c>
      <c r="I16" s="2">
        <v>45807.124999988424</v>
      </c>
      <c r="J16">
        <v>1440185.0036430999</v>
      </c>
      <c r="K16">
        <v>2383</v>
      </c>
    </row>
    <row r="17" spans="1:11" x14ac:dyDescent="0.2">
      <c r="A17" s="1">
        <v>45807</v>
      </c>
      <c r="B17" t="s">
        <v>11</v>
      </c>
      <c r="C17" s="2">
        <v>45807.125</v>
      </c>
      <c r="D17">
        <v>105702.53</v>
      </c>
      <c r="E17">
        <v>106211.6</v>
      </c>
      <c r="F17">
        <v>103665.04</v>
      </c>
      <c r="G17">
        <v>104071.8</v>
      </c>
      <c r="H17">
        <v>16.91291</v>
      </c>
      <c r="I17" s="2">
        <v>45808.124999988424</v>
      </c>
      <c r="J17">
        <v>1770801.1119681001</v>
      </c>
      <c r="K17">
        <v>2424</v>
      </c>
    </row>
    <row r="18" spans="1:11" x14ac:dyDescent="0.2">
      <c r="A18" s="1">
        <v>45808</v>
      </c>
      <c r="B18" t="s">
        <v>11</v>
      </c>
      <c r="C18" s="2">
        <v>45808.125</v>
      </c>
      <c r="D18">
        <v>104179.86</v>
      </c>
      <c r="E18">
        <v>104877.45</v>
      </c>
      <c r="F18">
        <v>102906</v>
      </c>
      <c r="G18">
        <v>104612.5</v>
      </c>
      <c r="H18">
        <v>13.08431</v>
      </c>
      <c r="I18" s="2">
        <v>45809.124999988424</v>
      </c>
      <c r="J18">
        <v>1357967.2890663999</v>
      </c>
      <c r="K18">
        <v>1492</v>
      </c>
    </row>
    <row r="19" spans="1:11" x14ac:dyDescent="0.2">
      <c r="A19" s="1">
        <v>45809</v>
      </c>
      <c r="B19" t="s">
        <v>11</v>
      </c>
      <c r="C19" s="2">
        <v>45809.125</v>
      </c>
      <c r="D19">
        <v>104662.05</v>
      </c>
      <c r="E19">
        <v>105813.97</v>
      </c>
      <c r="F19">
        <v>103751.93</v>
      </c>
      <c r="G19">
        <v>105571.94</v>
      </c>
      <c r="H19">
        <v>4.7728200000000003</v>
      </c>
      <c r="I19" s="2">
        <v>45810.124999988424</v>
      </c>
      <c r="J19">
        <v>500118.39202740003</v>
      </c>
      <c r="K19">
        <v>1595</v>
      </c>
    </row>
    <row r="20" spans="1:11" x14ac:dyDescent="0.2">
      <c r="A20" s="1">
        <v>45810</v>
      </c>
      <c r="B20" t="s">
        <v>11</v>
      </c>
      <c r="C20" s="2">
        <v>45810.125</v>
      </c>
      <c r="D20">
        <v>105609.60000000001</v>
      </c>
      <c r="E20">
        <v>105917.06</v>
      </c>
      <c r="F20">
        <v>103673.88</v>
      </c>
      <c r="G20">
        <v>105860.43</v>
      </c>
      <c r="H20">
        <v>7.1518800000000002</v>
      </c>
      <c r="I20" s="2">
        <v>45811.124999988424</v>
      </c>
      <c r="J20">
        <v>749185.17563459999</v>
      </c>
      <c r="K20">
        <v>2094</v>
      </c>
    </row>
    <row r="21" spans="1:11" x14ac:dyDescent="0.2">
      <c r="A21" s="1">
        <v>45811</v>
      </c>
      <c r="B21" t="s">
        <v>11</v>
      </c>
      <c r="C21" s="2">
        <v>45811.125</v>
      </c>
      <c r="D21">
        <v>105768.14</v>
      </c>
      <c r="E21">
        <v>106761.46</v>
      </c>
      <c r="F21">
        <v>104909.52</v>
      </c>
      <c r="G21">
        <v>105317.93</v>
      </c>
      <c r="H21">
        <v>8.9003999999999994</v>
      </c>
      <c r="I21" s="2">
        <v>45812.124999988424</v>
      </c>
      <c r="J21">
        <v>942518.69475300005</v>
      </c>
      <c r="K21">
        <v>1993</v>
      </c>
    </row>
    <row r="22" spans="1:11" x14ac:dyDescent="0.2">
      <c r="A22" s="1">
        <v>45812</v>
      </c>
      <c r="B22" t="s">
        <v>11</v>
      </c>
      <c r="C22" s="2">
        <v>45812.125</v>
      </c>
      <c r="D22">
        <v>105390.06</v>
      </c>
      <c r="E22">
        <v>105973.03</v>
      </c>
      <c r="F22">
        <v>104216.01</v>
      </c>
      <c r="G22">
        <v>104671.87</v>
      </c>
      <c r="H22">
        <v>7.9186399999999999</v>
      </c>
      <c r="I22" s="2">
        <v>45813.124999988424</v>
      </c>
      <c r="J22">
        <v>831335.78024770005</v>
      </c>
      <c r="K22">
        <v>1293</v>
      </c>
    </row>
    <row r="23" spans="1:11" x14ac:dyDescent="0.2">
      <c r="A23" s="1">
        <v>45813</v>
      </c>
      <c r="B23" t="s">
        <v>11</v>
      </c>
      <c r="C23" s="2">
        <v>45813.125</v>
      </c>
      <c r="D23">
        <v>104740.79</v>
      </c>
      <c r="E23">
        <v>105932.94</v>
      </c>
      <c r="F23">
        <v>100425.95</v>
      </c>
      <c r="G23">
        <v>101498.5</v>
      </c>
      <c r="H23">
        <v>26.637899999999998</v>
      </c>
      <c r="I23" s="2">
        <v>45814.124999988424</v>
      </c>
      <c r="J23">
        <v>2735972.9187572999</v>
      </c>
      <c r="K23">
        <v>2485</v>
      </c>
    </row>
    <row r="24" spans="1:11" x14ac:dyDescent="0.2">
      <c r="A24" s="1">
        <v>45814</v>
      </c>
      <c r="B24" t="s">
        <v>11</v>
      </c>
      <c r="C24" s="2">
        <v>45814.125</v>
      </c>
      <c r="D24">
        <v>101498.58</v>
      </c>
      <c r="E24">
        <v>105255.62</v>
      </c>
      <c r="F24">
        <v>101151.9</v>
      </c>
      <c r="G24">
        <v>104301.01</v>
      </c>
      <c r="H24">
        <v>6.7288800000000002</v>
      </c>
      <c r="I24" s="2">
        <v>45815.124999988424</v>
      </c>
      <c r="J24">
        <v>696929.00408940006</v>
      </c>
      <c r="K24">
        <v>1676</v>
      </c>
    </row>
    <row r="25" spans="1:11" x14ac:dyDescent="0.2">
      <c r="A25" s="1">
        <v>45815</v>
      </c>
      <c r="B25" t="s">
        <v>11</v>
      </c>
      <c r="C25" s="2">
        <v>45815.125</v>
      </c>
      <c r="D25">
        <v>104364.9</v>
      </c>
      <c r="E25">
        <v>105900</v>
      </c>
      <c r="F25">
        <v>103853.14</v>
      </c>
      <c r="G25">
        <v>105500</v>
      </c>
      <c r="H25">
        <v>4.45594</v>
      </c>
      <c r="I25" s="2">
        <v>45816.124999988424</v>
      </c>
      <c r="J25">
        <v>468833.72297820001</v>
      </c>
      <c r="K25">
        <v>1220</v>
      </c>
    </row>
    <row r="26" spans="1:11" x14ac:dyDescent="0.2">
      <c r="A26" s="1">
        <v>45816</v>
      </c>
      <c r="B26" t="s">
        <v>11</v>
      </c>
      <c r="C26" s="2">
        <v>45816.125</v>
      </c>
      <c r="D26">
        <v>105500</v>
      </c>
      <c r="E26">
        <v>106382.5</v>
      </c>
      <c r="F26">
        <v>105034.44</v>
      </c>
      <c r="G26">
        <v>105790.58</v>
      </c>
      <c r="H26">
        <v>4.9988400000000004</v>
      </c>
      <c r="I26" s="2">
        <v>45817.124999988424</v>
      </c>
      <c r="J26">
        <v>528815.2520646</v>
      </c>
      <c r="K26">
        <v>1145</v>
      </c>
    </row>
    <row r="27" spans="1:11" x14ac:dyDescent="0.2">
      <c r="A27" s="1">
        <v>45817</v>
      </c>
      <c r="B27" t="s">
        <v>11</v>
      </c>
      <c r="C27" s="2">
        <v>45817.125</v>
      </c>
      <c r="D27">
        <v>105742.83</v>
      </c>
      <c r="E27">
        <v>110183.09</v>
      </c>
      <c r="F27">
        <v>105350.66</v>
      </c>
      <c r="G27">
        <v>110101.01</v>
      </c>
      <c r="H27">
        <v>16.114940000000001</v>
      </c>
      <c r="I27" s="2">
        <v>45818.124999988424</v>
      </c>
      <c r="J27">
        <v>1747223.1488834</v>
      </c>
      <c r="K27">
        <v>3374</v>
      </c>
    </row>
    <row r="28" spans="1:11" x14ac:dyDescent="0.2">
      <c r="A28" s="1">
        <v>45818</v>
      </c>
      <c r="B28" t="s">
        <v>11</v>
      </c>
      <c r="C28" s="2">
        <v>45818.125</v>
      </c>
      <c r="D28">
        <v>110101.01</v>
      </c>
      <c r="E28">
        <v>110187</v>
      </c>
      <c r="F28">
        <v>108344.15</v>
      </c>
      <c r="G28">
        <v>110183.11</v>
      </c>
      <c r="H28">
        <v>10.04875</v>
      </c>
      <c r="I28" s="2">
        <v>45819.124999988424</v>
      </c>
      <c r="J28">
        <v>1100268.2913444999</v>
      </c>
      <c r="K28">
        <v>1984</v>
      </c>
    </row>
    <row r="29" spans="1:11" x14ac:dyDescent="0.2">
      <c r="A29" s="1">
        <v>45819</v>
      </c>
      <c r="B29" t="s">
        <v>11</v>
      </c>
      <c r="C29" s="2">
        <v>45819.125</v>
      </c>
      <c r="D29">
        <v>110080.71</v>
      </c>
      <c r="E29">
        <v>110342.38</v>
      </c>
      <c r="F29">
        <v>108131.79</v>
      </c>
      <c r="G29">
        <v>108625</v>
      </c>
      <c r="H29">
        <v>28.68112</v>
      </c>
      <c r="I29" s="2">
        <v>45820.124999988424</v>
      </c>
      <c r="J29">
        <v>3143225.7222075001</v>
      </c>
      <c r="K29">
        <v>2807</v>
      </c>
    </row>
    <row r="30" spans="1:11" x14ac:dyDescent="0.2">
      <c r="A30" s="1">
        <v>45820</v>
      </c>
      <c r="B30" t="s">
        <v>11</v>
      </c>
      <c r="C30" s="2">
        <v>45820.125</v>
      </c>
      <c r="D30">
        <v>108688.9</v>
      </c>
      <c r="E30">
        <v>108810.58</v>
      </c>
      <c r="F30">
        <v>105708.18</v>
      </c>
      <c r="G30">
        <v>105708.18</v>
      </c>
      <c r="H30">
        <v>11.01834</v>
      </c>
      <c r="I30" s="2">
        <v>45821.124999988424</v>
      </c>
      <c r="J30">
        <v>1175639.0384151</v>
      </c>
      <c r="K30">
        <v>2053</v>
      </c>
    </row>
    <row r="31" spans="1:11" x14ac:dyDescent="0.2">
      <c r="A31" s="1">
        <v>45821</v>
      </c>
      <c r="B31" t="s">
        <v>11</v>
      </c>
      <c r="C31" s="2">
        <v>45821.125</v>
      </c>
      <c r="D31">
        <v>105703.2</v>
      </c>
      <c r="E31">
        <v>106130.99</v>
      </c>
      <c r="F31">
        <v>102711.06</v>
      </c>
      <c r="G31">
        <v>106043.25</v>
      </c>
      <c r="H31">
        <v>9.6870100000000008</v>
      </c>
      <c r="I31" s="2">
        <v>45822.124999988424</v>
      </c>
      <c r="J31">
        <v>1011042.7726842</v>
      </c>
      <c r="K31">
        <v>2380</v>
      </c>
    </row>
    <row r="32" spans="1:11" x14ac:dyDescent="0.2">
      <c r="A32" s="1">
        <v>45822</v>
      </c>
      <c r="B32" t="s">
        <v>11</v>
      </c>
      <c r="C32" s="2">
        <v>45822.125</v>
      </c>
      <c r="D32">
        <v>106060.59</v>
      </c>
      <c r="E32">
        <v>106189.14</v>
      </c>
      <c r="F32">
        <v>104347.27</v>
      </c>
      <c r="G32">
        <v>105410.13</v>
      </c>
      <c r="H32">
        <v>5.8478300000000001</v>
      </c>
      <c r="I32" s="2">
        <v>45823.124999988424</v>
      </c>
      <c r="J32">
        <v>616449.86338810006</v>
      </c>
      <c r="K32">
        <v>1035</v>
      </c>
    </row>
    <row r="33" spans="1:11" x14ac:dyDescent="0.2">
      <c r="A33" s="1">
        <v>45823</v>
      </c>
      <c r="B33" t="s">
        <v>11</v>
      </c>
      <c r="C33" s="2">
        <v>45823.125</v>
      </c>
      <c r="D33">
        <v>105410.21</v>
      </c>
      <c r="E33">
        <v>106148.86</v>
      </c>
      <c r="F33">
        <v>104500.47</v>
      </c>
      <c r="G33">
        <v>105540.14</v>
      </c>
      <c r="H33">
        <v>9.2642199999999999</v>
      </c>
      <c r="I33" s="2">
        <v>45824.124999988424</v>
      </c>
      <c r="J33">
        <v>976591.71469439997</v>
      </c>
      <c r="K33">
        <v>1200</v>
      </c>
    </row>
    <row r="34" spans="1:11" x14ac:dyDescent="0.2">
      <c r="A34" s="1">
        <v>45824</v>
      </c>
      <c r="B34" t="s">
        <v>11</v>
      </c>
      <c r="C34" s="2">
        <v>45824.125</v>
      </c>
      <c r="D34">
        <v>105520.11</v>
      </c>
      <c r="E34">
        <v>108833.3</v>
      </c>
      <c r="F34">
        <v>105025.92</v>
      </c>
      <c r="G34">
        <v>106825.99</v>
      </c>
      <c r="H34">
        <v>8.7037999999999993</v>
      </c>
      <c r="I34" s="2">
        <v>45825.124999988424</v>
      </c>
      <c r="J34">
        <v>933871.07610149996</v>
      </c>
      <c r="K34">
        <v>2036</v>
      </c>
    </row>
    <row r="35" spans="1:11" x14ac:dyDescent="0.2">
      <c r="A35" s="1">
        <v>45825</v>
      </c>
      <c r="B35" t="s">
        <v>11</v>
      </c>
      <c r="C35" s="2">
        <v>45825.125</v>
      </c>
      <c r="D35">
        <v>106766.12</v>
      </c>
      <c r="E35">
        <v>107685.15</v>
      </c>
      <c r="F35">
        <v>103152</v>
      </c>
      <c r="G35">
        <v>104613.46</v>
      </c>
      <c r="H35">
        <v>10.59169</v>
      </c>
      <c r="I35" s="2">
        <v>45826.124999988424</v>
      </c>
      <c r="J35">
        <v>1112760.2615856</v>
      </c>
      <c r="K35">
        <v>2104</v>
      </c>
    </row>
    <row r="36" spans="1:11" x14ac:dyDescent="0.2">
      <c r="A36" s="1">
        <v>45826</v>
      </c>
      <c r="B36" t="s">
        <v>11</v>
      </c>
      <c r="C36" s="2">
        <v>45826.125</v>
      </c>
      <c r="D36">
        <v>104644.26</v>
      </c>
      <c r="E36">
        <v>105480.47</v>
      </c>
      <c r="F36">
        <v>103584.45</v>
      </c>
      <c r="G36">
        <v>104879.86</v>
      </c>
      <c r="H36">
        <v>6.9833600000000002</v>
      </c>
      <c r="I36" s="2">
        <v>45827.124999988424</v>
      </c>
      <c r="J36">
        <v>732966.48924689996</v>
      </c>
      <c r="K36">
        <v>1549</v>
      </c>
    </row>
    <row r="37" spans="1:11" x14ac:dyDescent="0.2">
      <c r="A37" s="1">
        <v>45827</v>
      </c>
      <c r="B37" t="s">
        <v>11</v>
      </c>
      <c r="C37" s="2">
        <v>45827.125</v>
      </c>
      <c r="D37">
        <v>104960.31</v>
      </c>
      <c r="E37">
        <v>105234.56</v>
      </c>
      <c r="F37">
        <v>104000</v>
      </c>
      <c r="G37">
        <v>104720.21</v>
      </c>
      <c r="H37">
        <v>3.2205900000000001</v>
      </c>
      <c r="I37" s="2">
        <v>45828.124999988424</v>
      </c>
      <c r="J37">
        <v>337011.40064940002</v>
      </c>
      <c r="K37">
        <v>1035</v>
      </c>
    </row>
    <row r="38" spans="1:11" x14ac:dyDescent="0.2">
      <c r="A38" s="1">
        <v>45828</v>
      </c>
      <c r="B38" t="s">
        <v>11</v>
      </c>
      <c r="C38" s="2">
        <v>45828.125</v>
      </c>
      <c r="D38">
        <v>104685.72</v>
      </c>
      <c r="E38">
        <v>106531.74</v>
      </c>
      <c r="F38">
        <v>102382.9</v>
      </c>
      <c r="G38">
        <v>103320.72</v>
      </c>
      <c r="H38">
        <v>8.3433899999999994</v>
      </c>
      <c r="I38" s="2">
        <v>45829.124999988424</v>
      </c>
      <c r="J38">
        <v>868651.1018534</v>
      </c>
      <c r="K38">
        <v>1859</v>
      </c>
    </row>
    <row r="39" spans="1:11" x14ac:dyDescent="0.2">
      <c r="A39" s="1">
        <v>45829</v>
      </c>
      <c r="B39" t="s">
        <v>11</v>
      </c>
      <c r="C39" s="2">
        <v>45829.125</v>
      </c>
      <c r="D39">
        <v>103270.88</v>
      </c>
      <c r="E39">
        <v>103950.49</v>
      </c>
      <c r="F39">
        <v>100935.45</v>
      </c>
      <c r="G39">
        <v>101976.53</v>
      </c>
      <c r="H39">
        <v>11.88115</v>
      </c>
      <c r="I39" s="2">
        <v>45830.124999988424</v>
      </c>
      <c r="J39">
        <v>1207480.4880544001</v>
      </c>
      <c r="K39">
        <v>1378</v>
      </c>
    </row>
    <row r="40" spans="1:11" x14ac:dyDescent="0.2">
      <c r="A40" s="1">
        <v>45830</v>
      </c>
      <c r="B40" t="s">
        <v>11</v>
      </c>
      <c r="C40" s="2">
        <v>45830.125</v>
      </c>
      <c r="D40">
        <v>101976.53</v>
      </c>
      <c r="E40">
        <v>103323.86</v>
      </c>
      <c r="F40">
        <v>98254.52</v>
      </c>
      <c r="G40">
        <v>100900.6</v>
      </c>
      <c r="H40">
        <v>16.351220000000001</v>
      </c>
      <c r="I40" s="2">
        <v>45831.124999988424</v>
      </c>
      <c r="J40">
        <v>1633764.6054465</v>
      </c>
      <c r="K40">
        <v>2725</v>
      </c>
    </row>
    <row r="41" spans="1:11" x14ac:dyDescent="0.2">
      <c r="A41" s="1">
        <v>45831</v>
      </c>
      <c r="B41" t="s">
        <v>11</v>
      </c>
      <c r="C41" s="2">
        <v>45831.125</v>
      </c>
      <c r="D41">
        <v>100871.62</v>
      </c>
      <c r="E41">
        <v>105883.31</v>
      </c>
      <c r="F41">
        <v>99594.16</v>
      </c>
      <c r="G41">
        <v>105491.81</v>
      </c>
      <c r="H41">
        <v>13.90767</v>
      </c>
      <c r="I41" s="2">
        <v>45832.124999988424</v>
      </c>
      <c r="J41">
        <v>1427644.6229731</v>
      </c>
      <c r="K41">
        <v>2814</v>
      </c>
    </row>
    <row r="42" spans="1:11" x14ac:dyDescent="0.2">
      <c r="A42" s="1">
        <v>45832</v>
      </c>
      <c r="B42" t="s">
        <v>11</v>
      </c>
      <c r="C42" s="2">
        <v>45832.125</v>
      </c>
      <c r="D42">
        <v>105394.97</v>
      </c>
      <c r="E42">
        <v>106156.86</v>
      </c>
      <c r="F42">
        <v>104606.93</v>
      </c>
      <c r="G42">
        <v>105903.87</v>
      </c>
      <c r="H42">
        <v>5.6589</v>
      </c>
      <c r="I42" s="2">
        <v>45833.124999988424</v>
      </c>
      <c r="J42">
        <v>596585.77534659998</v>
      </c>
      <c r="K42">
        <v>1582</v>
      </c>
    </row>
    <row r="43" spans="1:11" x14ac:dyDescent="0.2">
      <c r="A43" s="1">
        <v>45833</v>
      </c>
      <c r="B43" t="s">
        <v>11</v>
      </c>
      <c r="C43" s="2">
        <v>45833.125</v>
      </c>
      <c r="D43">
        <v>106000</v>
      </c>
      <c r="E43">
        <v>108095.03999999999</v>
      </c>
      <c r="F43">
        <v>105767.25</v>
      </c>
      <c r="G43">
        <v>107179.03</v>
      </c>
      <c r="H43">
        <v>8.4425299999999996</v>
      </c>
      <c r="I43" s="2">
        <v>45834.124999988424</v>
      </c>
      <c r="J43">
        <v>904969.47220870003</v>
      </c>
      <c r="K43">
        <v>2522</v>
      </c>
    </row>
    <row r="44" spans="1:11" x14ac:dyDescent="0.2">
      <c r="A44" s="1">
        <v>45834</v>
      </c>
      <c r="B44" t="s">
        <v>11</v>
      </c>
      <c r="C44" s="2">
        <v>45834.125</v>
      </c>
      <c r="D44">
        <v>107286.68</v>
      </c>
      <c r="E44">
        <v>108209.12</v>
      </c>
      <c r="F44">
        <v>106642.93</v>
      </c>
      <c r="G44">
        <v>107013.01</v>
      </c>
      <c r="H44">
        <v>3.72214</v>
      </c>
      <c r="I44" s="2">
        <v>45835.124999988424</v>
      </c>
      <c r="J44">
        <v>399954.95233120001</v>
      </c>
      <c r="K44">
        <v>1673</v>
      </c>
    </row>
    <row r="45" spans="1:11" x14ac:dyDescent="0.2">
      <c r="A45" s="1">
        <v>45835</v>
      </c>
      <c r="B45" t="s">
        <v>11</v>
      </c>
      <c r="C45" s="2">
        <v>45835.125</v>
      </c>
      <c r="D45">
        <v>106863.96</v>
      </c>
      <c r="E45">
        <v>107648.34</v>
      </c>
      <c r="F45">
        <v>106414.03</v>
      </c>
      <c r="G45">
        <v>107000.01</v>
      </c>
      <c r="H45">
        <v>4.7232500000000002</v>
      </c>
      <c r="I45" s="2">
        <v>45836.124999988424</v>
      </c>
      <c r="J45">
        <v>504759.38770409999</v>
      </c>
      <c r="K45">
        <v>1191</v>
      </c>
    </row>
    <row r="46" spans="1:11" x14ac:dyDescent="0.2">
      <c r="A46" s="1">
        <v>45836</v>
      </c>
      <c r="B46" t="s">
        <v>11</v>
      </c>
      <c r="C46" s="2">
        <v>45836.125</v>
      </c>
      <c r="D46">
        <v>107095.18</v>
      </c>
      <c r="E46">
        <v>107577.07</v>
      </c>
      <c r="F46">
        <v>106760.82</v>
      </c>
      <c r="G46">
        <v>107325.32</v>
      </c>
      <c r="H46">
        <v>2.7137899999999999</v>
      </c>
      <c r="I46" s="2">
        <v>45837.124999988424</v>
      </c>
      <c r="J46">
        <v>291182.32901510003</v>
      </c>
      <c r="K46">
        <v>802</v>
      </c>
    </row>
    <row r="47" spans="1:11" x14ac:dyDescent="0.2">
      <c r="A47" s="1">
        <v>45837</v>
      </c>
      <c r="B47" t="s">
        <v>11</v>
      </c>
      <c r="C47" s="2">
        <v>45837.125</v>
      </c>
      <c r="D47">
        <v>107342.78</v>
      </c>
      <c r="E47">
        <v>108473.62</v>
      </c>
      <c r="F47">
        <v>107152.5</v>
      </c>
      <c r="G47">
        <v>108296.9</v>
      </c>
      <c r="H47">
        <v>5.90259</v>
      </c>
      <c r="I47" s="2">
        <v>45838.124999988424</v>
      </c>
      <c r="J47">
        <v>635791.73401929997</v>
      </c>
      <c r="K47">
        <v>1548</v>
      </c>
    </row>
    <row r="48" spans="1:11" x14ac:dyDescent="0.2">
      <c r="A48" s="1">
        <v>45838</v>
      </c>
      <c r="B48" t="s">
        <v>11</v>
      </c>
      <c r="C48" s="2">
        <v>45838.125</v>
      </c>
      <c r="D48">
        <v>108382.69</v>
      </c>
      <c r="E48">
        <v>108746.16</v>
      </c>
      <c r="F48">
        <v>106766.08</v>
      </c>
      <c r="G48">
        <v>107214.96</v>
      </c>
      <c r="H48">
        <v>7.1557599999999999</v>
      </c>
      <c r="I48" s="2">
        <v>45839.124999988424</v>
      </c>
      <c r="J48">
        <v>770639.52504029998</v>
      </c>
      <c r="K48">
        <v>1445</v>
      </c>
    </row>
    <row r="49" spans="1:11" x14ac:dyDescent="0.2">
      <c r="A49" s="1">
        <v>45839</v>
      </c>
      <c r="B49" t="s">
        <v>11</v>
      </c>
      <c r="C49" s="2">
        <v>45839.125</v>
      </c>
      <c r="D49">
        <v>107067.23</v>
      </c>
      <c r="E49">
        <v>107471.65</v>
      </c>
      <c r="F49">
        <v>105329.35</v>
      </c>
      <c r="G49">
        <v>105668.01</v>
      </c>
      <c r="H49">
        <v>9.2903000000000002</v>
      </c>
      <c r="I49" s="2">
        <v>45840.124999988424</v>
      </c>
      <c r="J49">
        <v>988829.03084909997</v>
      </c>
      <c r="K49">
        <v>2188</v>
      </c>
    </row>
    <row r="50" spans="1:11" x14ac:dyDescent="0.2">
      <c r="A50" s="1">
        <v>45840</v>
      </c>
      <c r="B50" t="s">
        <v>11</v>
      </c>
      <c r="C50" s="2">
        <v>45840.125</v>
      </c>
      <c r="D50">
        <v>105551.07</v>
      </c>
      <c r="E50">
        <v>109650</v>
      </c>
      <c r="F50">
        <v>105157.89</v>
      </c>
      <c r="G50">
        <v>108702.81</v>
      </c>
      <c r="H50">
        <v>40.854410000000001</v>
      </c>
      <c r="I50" s="2">
        <v>45841.124999988424</v>
      </c>
      <c r="J50">
        <v>4441738.6368720001</v>
      </c>
      <c r="K50">
        <v>3336</v>
      </c>
    </row>
    <row r="51" spans="1:11" x14ac:dyDescent="0.2">
      <c r="A51" s="1">
        <v>45841</v>
      </c>
      <c r="B51" t="s">
        <v>11</v>
      </c>
      <c r="C51" s="2">
        <v>45841.125</v>
      </c>
      <c r="D51">
        <v>108688.03</v>
      </c>
      <c r="E51">
        <v>110493.51</v>
      </c>
      <c r="F51">
        <v>108119.95</v>
      </c>
      <c r="G51">
        <v>109628.73</v>
      </c>
      <c r="H51">
        <v>58.380009999999999</v>
      </c>
      <c r="I51" s="2">
        <v>45842.124999988424</v>
      </c>
      <c r="J51">
        <v>6361863.8903796999</v>
      </c>
      <c r="K51">
        <v>4070</v>
      </c>
    </row>
    <row r="52" spans="1:11" x14ac:dyDescent="0.2">
      <c r="A52" s="1">
        <v>45842</v>
      </c>
      <c r="B52" t="s">
        <v>11</v>
      </c>
      <c r="C52" s="2">
        <v>45842.125</v>
      </c>
      <c r="D52">
        <v>109535.81</v>
      </c>
      <c r="E52">
        <v>109715.96</v>
      </c>
      <c r="F52">
        <v>107267.71</v>
      </c>
      <c r="G52">
        <v>107947.38</v>
      </c>
      <c r="H52">
        <v>9.3818900000000003</v>
      </c>
      <c r="I52" s="2">
        <v>45843.124999988424</v>
      </c>
      <c r="J52">
        <v>1016047.1962637</v>
      </c>
      <c r="K52">
        <v>1228</v>
      </c>
    </row>
    <row r="53" spans="1:11" x14ac:dyDescent="0.2">
      <c r="A53" s="1">
        <v>45843</v>
      </c>
      <c r="B53" t="s">
        <v>11</v>
      </c>
      <c r="C53" s="2">
        <v>45843.125</v>
      </c>
      <c r="D53">
        <v>107944.22</v>
      </c>
      <c r="E53">
        <v>108341.84</v>
      </c>
      <c r="F53">
        <v>107766.83</v>
      </c>
      <c r="G53">
        <v>108260</v>
      </c>
      <c r="H53">
        <v>2.1464300000000001</v>
      </c>
      <c r="I53" s="2">
        <v>45844.124999988424</v>
      </c>
      <c r="J53">
        <v>232069.1512161</v>
      </c>
      <c r="K53">
        <v>775</v>
      </c>
    </row>
    <row r="54" spans="1:11" x14ac:dyDescent="0.2">
      <c r="A54" s="1">
        <v>45844</v>
      </c>
      <c r="B54" t="s">
        <v>11</v>
      </c>
      <c r="C54" s="2">
        <v>45844.125</v>
      </c>
      <c r="D54">
        <v>108264.81</v>
      </c>
      <c r="E54">
        <v>109600</v>
      </c>
      <c r="F54">
        <v>107837.71</v>
      </c>
      <c r="G54">
        <v>109216.4</v>
      </c>
      <c r="H54">
        <v>4.0037900000000004</v>
      </c>
      <c r="I54" s="2">
        <v>45845.124999988424</v>
      </c>
      <c r="J54">
        <v>436055.14255240001</v>
      </c>
      <c r="K54">
        <v>1281</v>
      </c>
    </row>
    <row r="55" spans="1:11" x14ac:dyDescent="0.2">
      <c r="A55" s="1">
        <v>45845</v>
      </c>
      <c r="B55" t="s">
        <v>11</v>
      </c>
      <c r="C55" s="2">
        <v>45845.125</v>
      </c>
      <c r="D55">
        <v>109121.93</v>
      </c>
      <c r="E55">
        <v>109656.72</v>
      </c>
      <c r="F55">
        <v>107570</v>
      </c>
      <c r="G55">
        <v>108216.12</v>
      </c>
      <c r="H55">
        <v>9.1246100000000006</v>
      </c>
      <c r="I55" s="2">
        <v>45846.124999988424</v>
      </c>
      <c r="J55">
        <v>990879.65717749996</v>
      </c>
      <c r="K55">
        <v>2122</v>
      </c>
    </row>
    <row r="56" spans="1:11" x14ac:dyDescent="0.2">
      <c r="A56" s="1">
        <v>45846</v>
      </c>
      <c r="B56" t="s">
        <v>11</v>
      </c>
      <c r="C56" s="2">
        <v>45846.125</v>
      </c>
      <c r="D56">
        <v>108216.38</v>
      </c>
      <c r="E56">
        <v>109200</v>
      </c>
      <c r="F56">
        <v>107500</v>
      </c>
      <c r="G56">
        <v>108988.53</v>
      </c>
      <c r="H56">
        <v>5.7895899999999996</v>
      </c>
      <c r="I56" s="2">
        <v>45847.124999988424</v>
      </c>
      <c r="J56">
        <v>628175.34073299996</v>
      </c>
      <c r="K56">
        <v>2288</v>
      </c>
    </row>
    <row r="57" spans="1:11" x14ac:dyDescent="0.2">
      <c r="A57" s="1">
        <v>45847</v>
      </c>
      <c r="B57" t="s">
        <v>11</v>
      </c>
      <c r="C57" s="2">
        <v>45847.125</v>
      </c>
      <c r="D57">
        <v>108887.33</v>
      </c>
      <c r="E57">
        <v>111934.84</v>
      </c>
      <c r="F57">
        <v>108343.24</v>
      </c>
      <c r="G57">
        <v>111475.16</v>
      </c>
      <c r="H57">
        <v>52.852829999999997</v>
      </c>
      <c r="I57" s="2">
        <v>45848.124999988424</v>
      </c>
      <c r="J57">
        <v>5809274.5216041999</v>
      </c>
      <c r="K57">
        <v>4755</v>
      </c>
    </row>
    <row r="58" spans="1:11" x14ac:dyDescent="0.2">
      <c r="A58" s="1">
        <v>45848</v>
      </c>
      <c r="B58" t="s">
        <v>11</v>
      </c>
      <c r="C58" s="2">
        <v>45848.125</v>
      </c>
      <c r="D58">
        <v>111294.24</v>
      </c>
      <c r="E58">
        <v>116733.15</v>
      </c>
      <c r="F58">
        <v>110584.71</v>
      </c>
      <c r="G58">
        <v>116038</v>
      </c>
      <c r="H58">
        <v>45.5715</v>
      </c>
      <c r="I58" s="2">
        <v>45849.124999988424</v>
      </c>
      <c r="J58">
        <v>5127499.6564718997</v>
      </c>
      <c r="K58">
        <v>8515</v>
      </c>
    </row>
    <row r="59" spans="1:11" x14ac:dyDescent="0.2">
      <c r="A59" s="1">
        <v>45849</v>
      </c>
      <c r="B59" t="s">
        <v>11</v>
      </c>
      <c r="C59" s="2">
        <v>45849.125</v>
      </c>
      <c r="D59">
        <v>116037.86</v>
      </c>
      <c r="E59">
        <v>118808</v>
      </c>
      <c r="F59">
        <v>115269.73</v>
      </c>
      <c r="G59">
        <v>117426.49</v>
      </c>
      <c r="H59">
        <v>13.13519</v>
      </c>
      <c r="I59" s="2">
        <v>45850.124999988424</v>
      </c>
      <c r="J59">
        <v>1542152.7553010001</v>
      </c>
      <c r="K59">
        <v>2903</v>
      </c>
    </row>
    <row r="60" spans="1:11" x14ac:dyDescent="0.2">
      <c r="A60" s="1">
        <v>45850</v>
      </c>
      <c r="B60" t="s">
        <v>11</v>
      </c>
      <c r="C60" s="2">
        <v>45850.125</v>
      </c>
      <c r="D60">
        <v>117607.65</v>
      </c>
      <c r="E60">
        <v>118122.93</v>
      </c>
      <c r="F60">
        <v>116975.25</v>
      </c>
      <c r="G60">
        <v>117393.39</v>
      </c>
      <c r="H60">
        <v>4.7433100000000001</v>
      </c>
      <c r="I60" s="2">
        <v>45851.124999988424</v>
      </c>
      <c r="J60">
        <v>557508.94415929995</v>
      </c>
      <c r="K60">
        <v>1420</v>
      </c>
    </row>
    <row r="61" spans="1:11" x14ac:dyDescent="0.2">
      <c r="A61" s="1">
        <v>45851</v>
      </c>
      <c r="B61" t="s">
        <v>11</v>
      </c>
      <c r="C61" s="2">
        <v>45851.125</v>
      </c>
      <c r="D61">
        <v>117441.77</v>
      </c>
      <c r="E61">
        <v>119384.16</v>
      </c>
      <c r="F61">
        <v>117254.7</v>
      </c>
      <c r="G61">
        <v>119098.77</v>
      </c>
      <c r="H61">
        <v>9.5379400000000008</v>
      </c>
      <c r="I61" s="2">
        <v>45852.124999988424</v>
      </c>
      <c r="J61">
        <v>1130743.4257712001</v>
      </c>
      <c r="K61">
        <v>2503</v>
      </c>
    </row>
    <row r="62" spans="1:11" x14ac:dyDescent="0.2">
      <c r="A62" s="1">
        <v>45852</v>
      </c>
      <c r="B62" t="s">
        <v>11</v>
      </c>
      <c r="C62" s="2">
        <v>45852.125</v>
      </c>
      <c r="D62">
        <v>119073.56</v>
      </c>
      <c r="E62">
        <v>123119.12</v>
      </c>
      <c r="F62">
        <v>118876.01</v>
      </c>
      <c r="G62">
        <v>119878.79</v>
      </c>
      <c r="H62">
        <v>28.321750000000002</v>
      </c>
      <c r="I62" s="2">
        <v>45853.124999988424</v>
      </c>
      <c r="J62">
        <v>3425537.5878034001</v>
      </c>
      <c r="K62">
        <v>5277</v>
      </c>
    </row>
    <row r="63" spans="1:11" x14ac:dyDescent="0.2">
      <c r="A63" s="1">
        <v>45853</v>
      </c>
      <c r="B63" t="s">
        <v>11</v>
      </c>
      <c r="C63" s="2">
        <v>45853.125</v>
      </c>
      <c r="D63">
        <v>119857.16</v>
      </c>
      <c r="E63">
        <v>119966.27</v>
      </c>
      <c r="F63">
        <v>115824.13</v>
      </c>
      <c r="G63">
        <v>117680.43</v>
      </c>
      <c r="H63">
        <v>19.554539999999999</v>
      </c>
      <c r="I63" s="2">
        <v>45854.124999988424</v>
      </c>
      <c r="J63">
        <v>2293040.7028957</v>
      </c>
      <c r="K63">
        <v>4436</v>
      </c>
    </row>
    <row r="64" spans="1:11" x14ac:dyDescent="0.2">
      <c r="A64" s="1">
        <v>45854</v>
      </c>
      <c r="B64" t="s">
        <v>11</v>
      </c>
      <c r="C64" s="2">
        <v>45854.125</v>
      </c>
      <c r="D64">
        <v>117737.65</v>
      </c>
      <c r="E64">
        <v>120000</v>
      </c>
      <c r="F64">
        <v>117074.83</v>
      </c>
      <c r="G64">
        <v>118585.41</v>
      </c>
      <c r="H64">
        <v>34.234810000000003</v>
      </c>
      <c r="I64" s="2">
        <v>45855.124999988424</v>
      </c>
      <c r="J64">
        <v>4058227.0445825001</v>
      </c>
      <c r="K64">
        <v>3167</v>
      </c>
    </row>
    <row r="65" spans="1:11" x14ac:dyDescent="0.2">
      <c r="A65" s="1">
        <v>45855</v>
      </c>
      <c r="B65" t="s">
        <v>11</v>
      </c>
      <c r="C65" s="2">
        <v>45855.125</v>
      </c>
      <c r="D65">
        <v>118596.64</v>
      </c>
      <c r="E65">
        <v>120777.09</v>
      </c>
      <c r="F65">
        <v>117454.83</v>
      </c>
      <c r="G65">
        <v>119197.83</v>
      </c>
      <c r="H65">
        <v>13.85371</v>
      </c>
      <c r="I65" s="2">
        <v>45856.124999988424</v>
      </c>
      <c r="J65">
        <v>1650051.5635854001</v>
      </c>
      <c r="K65">
        <v>2952</v>
      </c>
    </row>
    <row r="66" spans="1:11" x14ac:dyDescent="0.2">
      <c r="A66" s="1">
        <v>45856</v>
      </c>
      <c r="B66" t="s">
        <v>11</v>
      </c>
      <c r="C66" s="2">
        <v>45856.125</v>
      </c>
      <c r="D66">
        <v>119197.78</v>
      </c>
      <c r="E66">
        <v>120674.59</v>
      </c>
      <c r="F66">
        <v>116876.18</v>
      </c>
      <c r="G66">
        <v>117885.51</v>
      </c>
      <c r="H66">
        <v>20.285150000000002</v>
      </c>
      <c r="I66" s="2">
        <v>45857.124999988424</v>
      </c>
      <c r="J66">
        <v>2400322.2162166</v>
      </c>
      <c r="K66">
        <v>3794</v>
      </c>
    </row>
    <row r="67" spans="1:11" x14ac:dyDescent="0.2">
      <c r="A67" s="1">
        <v>45857</v>
      </c>
      <c r="B67" t="s">
        <v>11</v>
      </c>
      <c r="C67" s="2">
        <v>45857.125</v>
      </c>
      <c r="D67">
        <v>117979.11</v>
      </c>
      <c r="E67">
        <v>118458.82</v>
      </c>
      <c r="F67">
        <v>117313.28</v>
      </c>
      <c r="G67">
        <v>117796</v>
      </c>
      <c r="H67">
        <v>10.68562</v>
      </c>
      <c r="I67" s="2">
        <v>45858.124999988424</v>
      </c>
      <c r="J67">
        <v>1262065.7479274999</v>
      </c>
      <c r="K67">
        <v>2085</v>
      </c>
    </row>
    <row r="68" spans="1:11" x14ac:dyDescent="0.2">
      <c r="A68" s="1">
        <v>45858</v>
      </c>
      <c r="B68" t="s">
        <v>11</v>
      </c>
      <c r="C68" s="2">
        <v>45858.125</v>
      </c>
      <c r="D68">
        <v>117796</v>
      </c>
      <c r="E68">
        <v>118835.18</v>
      </c>
      <c r="F68">
        <v>116544.15</v>
      </c>
      <c r="G68">
        <v>117232.91</v>
      </c>
      <c r="H68">
        <v>6.0282400000000003</v>
      </c>
      <c r="I68" s="2">
        <v>45859.124999988424</v>
      </c>
      <c r="J68">
        <v>711215.59787259996</v>
      </c>
      <c r="K68">
        <v>3016</v>
      </c>
    </row>
    <row r="69" spans="1:11" x14ac:dyDescent="0.2">
      <c r="A69" s="1">
        <v>45859</v>
      </c>
      <c r="B69" t="s">
        <v>11</v>
      </c>
      <c r="C69" s="2">
        <v>45859.125</v>
      </c>
      <c r="D69">
        <v>117145.08</v>
      </c>
      <c r="E69">
        <v>119510.73</v>
      </c>
      <c r="F69">
        <v>116579.16</v>
      </c>
      <c r="G69">
        <v>117480.91</v>
      </c>
      <c r="H69">
        <v>16.67709</v>
      </c>
      <c r="I69" s="2">
        <v>45860.124999988424</v>
      </c>
      <c r="J69">
        <v>1970477.8734615999</v>
      </c>
      <c r="K69">
        <v>5150</v>
      </c>
    </row>
    <row r="70" spans="1:11" x14ac:dyDescent="0.2">
      <c r="A70" s="1">
        <v>45860</v>
      </c>
      <c r="B70" t="s">
        <v>11</v>
      </c>
      <c r="C70" s="2">
        <v>45860.125</v>
      </c>
      <c r="D70">
        <v>117336.01</v>
      </c>
      <c r="E70">
        <v>120169.05</v>
      </c>
      <c r="F70">
        <v>116178.21</v>
      </c>
      <c r="G70">
        <v>119999.61</v>
      </c>
      <c r="H70">
        <v>13.55016</v>
      </c>
      <c r="I70" s="2">
        <v>45861.124999988424</v>
      </c>
      <c r="J70">
        <v>1608876.5349784</v>
      </c>
      <c r="K70">
        <v>3311</v>
      </c>
    </row>
    <row r="71" spans="1:11" x14ac:dyDescent="0.2">
      <c r="A71" s="1">
        <v>45861</v>
      </c>
      <c r="B71" t="s">
        <v>11</v>
      </c>
      <c r="C71" s="2">
        <v>45861.125</v>
      </c>
      <c r="D71">
        <v>119962.95</v>
      </c>
      <c r="E71">
        <v>120588.88</v>
      </c>
      <c r="F71">
        <v>117312.27</v>
      </c>
      <c r="G71">
        <v>118620.89</v>
      </c>
      <c r="H71">
        <v>52.71078</v>
      </c>
      <c r="I71" s="2">
        <v>45862.124999988424</v>
      </c>
      <c r="J71">
        <v>6292781.3182391999</v>
      </c>
      <c r="K71">
        <v>4487</v>
      </c>
    </row>
    <row r="72" spans="1:11" x14ac:dyDescent="0.2">
      <c r="A72" s="1">
        <v>45862</v>
      </c>
      <c r="B72" t="s">
        <v>11</v>
      </c>
      <c r="C72" s="2">
        <v>45862.125</v>
      </c>
      <c r="D72">
        <v>118620.89</v>
      </c>
      <c r="E72">
        <v>119380</v>
      </c>
      <c r="F72">
        <v>117152.37</v>
      </c>
      <c r="G72">
        <v>118322.03</v>
      </c>
      <c r="H72">
        <v>4.81534</v>
      </c>
      <c r="I72" s="2">
        <v>45863.124999988424</v>
      </c>
      <c r="J72">
        <v>570341.508271</v>
      </c>
      <c r="K72">
        <v>1992</v>
      </c>
    </row>
    <row r="73" spans="1:11" x14ac:dyDescent="0.2">
      <c r="A73" s="1">
        <v>45863</v>
      </c>
      <c r="B73" t="s">
        <v>11</v>
      </c>
      <c r="C73" s="2">
        <v>45863.125</v>
      </c>
      <c r="D73">
        <v>118371.13</v>
      </c>
      <c r="E73">
        <v>118452.33</v>
      </c>
      <c r="F73">
        <v>114771.42</v>
      </c>
      <c r="G73">
        <v>117577.4</v>
      </c>
      <c r="H73">
        <v>13.08272</v>
      </c>
      <c r="I73" s="2">
        <v>45864.124999988424</v>
      </c>
      <c r="J73">
        <v>1518985.9391270999</v>
      </c>
      <c r="K73">
        <v>2917</v>
      </c>
    </row>
    <row r="74" spans="1:11" x14ac:dyDescent="0.2">
      <c r="A74" s="1">
        <v>45864</v>
      </c>
      <c r="B74" t="s">
        <v>11</v>
      </c>
      <c r="C74" s="2">
        <v>45864.125</v>
      </c>
      <c r="D74">
        <v>117577.41</v>
      </c>
      <c r="E74">
        <v>118249.99</v>
      </c>
      <c r="F74">
        <v>117198.34</v>
      </c>
      <c r="G74">
        <v>117850</v>
      </c>
      <c r="H74">
        <v>2.8480099999999999</v>
      </c>
      <c r="I74" s="2">
        <v>45865.124999988424</v>
      </c>
      <c r="J74">
        <v>335206.05102830002</v>
      </c>
      <c r="K74">
        <v>1313</v>
      </c>
    </row>
    <row r="75" spans="1:11" x14ac:dyDescent="0.2">
      <c r="A75" s="1">
        <v>45865</v>
      </c>
      <c r="B75" t="s">
        <v>11</v>
      </c>
      <c r="C75" s="2">
        <v>45865.125</v>
      </c>
      <c r="D75">
        <v>117850</v>
      </c>
      <c r="E75">
        <v>119703.32</v>
      </c>
      <c r="F75">
        <v>117797</v>
      </c>
      <c r="G75">
        <v>119395.67</v>
      </c>
      <c r="H75">
        <v>6.0120699999999996</v>
      </c>
      <c r="I75" s="2">
        <v>45866.124999988424</v>
      </c>
      <c r="J75">
        <v>714814.97243209998</v>
      </c>
      <c r="K75">
        <v>2646</v>
      </c>
    </row>
    <row r="76" spans="1:11" x14ac:dyDescent="0.2">
      <c r="A76" s="1">
        <v>45866</v>
      </c>
      <c r="B76" t="s">
        <v>11</v>
      </c>
      <c r="C76" s="2">
        <v>45866.125</v>
      </c>
      <c r="D76">
        <v>119395.67</v>
      </c>
      <c r="E76">
        <v>119744.14</v>
      </c>
      <c r="F76">
        <v>117499</v>
      </c>
      <c r="G76">
        <v>118080.54</v>
      </c>
      <c r="H76">
        <v>6.4196</v>
      </c>
      <c r="I76" s="2">
        <v>45867.124999988424</v>
      </c>
      <c r="J76">
        <v>759749.82485019998</v>
      </c>
      <c r="K76">
        <v>1648</v>
      </c>
    </row>
    <row r="77" spans="1:11" x14ac:dyDescent="0.2">
      <c r="A77" s="1">
        <v>45867</v>
      </c>
      <c r="B77" t="s">
        <v>11</v>
      </c>
      <c r="C77" s="2">
        <v>45867.125</v>
      </c>
      <c r="D77">
        <v>117993.85</v>
      </c>
      <c r="E77">
        <v>119201.97</v>
      </c>
      <c r="F77">
        <v>117022.08</v>
      </c>
      <c r="G77">
        <v>117875.98</v>
      </c>
      <c r="H77">
        <v>9.3352299999999993</v>
      </c>
      <c r="I77" s="2">
        <v>45868.124999988424</v>
      </c>
      <c r="J77">
        <v>1102477.5628358</v>
      </c>
      <c r="K77">
        <v>1751</v>
      </c>
    </row>
    <row r="78" spans="1:11" x14ac:dyDescent="0.2">
      <c r="A78" s="1">
        <v>45868</v>
      </c>
      <c r="B78" t="s">
        <v>11</v>
      </c>
      <c r="C78" s="2">
        <v>45868.125</v>
      </c>
      <c r="D78">
        <v>117953.73</v>
      </c>
      <c r="E78">
        <v>118667.71</v>
      </c>
      <c r="F78">
        <v>115546.47</v>
      </c>
      <c r="G78">
        <v>117880.12</v>
      </c>
      <c r="H78">
        <v>7.3416399999999999</v>
      </c>
      <c r="I78" s="2">
        <v>45869.124999988424</v>
      </c>
      <c r="J78">
        <v>861947.68539600004</v>
      </c>
      <c r="K78">
        <v>1863</v>
      </c>
    </row>
    <row r="79" spans="1:11" x14ac:dyDescent="0.2">
      <c r="A79" s="1">
        <v>45869</v>
      </c>
      <c r="B79" t="s">
        <v>11</v>
      </c>
      <c r="C79" s="2">
        <v>45869.125</v>
      </c>
      <c r="D79">
        <v>117700.22</v>
      </c>
      <c r="E79">
        <v>118830</v>
      </c>
      <c r="F79">
        <v>115500</v>
      </c>
      <c r="G79">
        <v>115660.09</v>
      </c>
      <c r="H79">
        <v>7.5006300000000001</v>
      </c>
      <c r="I79" s="2">
        <v>45870.124999988424</v>
      </c>
      <c r="J79">
        <v>879745.79207289999</v>
      </c>
      <c r="K79">
        <v>1751</v>
      </c>
    </row>
    <row r="80" spans="1:11" x14ac:dyDescent="0.2">
      <c r="A80" s="1">
        <v>45870</v>
      </c>
      <c r="B80" t="s">
        <v>11</v>
      </c>
      <c r="C80" s="2">
        <v>45870.125</v>
      </c>
      <c r="D80">
        <v>115603.25</v>
      </c>
      <c r="E80">
        <v>116046.58</v>
      </c>
      <c r="F80">
        <v>112749.73</v>
      </c>
      <c r="G80">
        <v>113343.12</v>
      </c>
      <c r="H80">
        <v>12.71927</v>
      </c>
      <c r="I80" s="2">
        <v>45871.124999988424</v>
      </c>
      <c r="J80">
        <v>1459467.1895320001</v>
      </c>
      <c r="K80">
        <v>2786</v>
      </c>
    </row>
    <row r="81" spans="1:11" x14ac:dyDescent="0.2">
      <c r="A81" s="1">
        <v>45871</v>
      </c>
      <c r="B81" t="s">
        <v>11</v>
      </c>
      <c r="C81" s="2">
        <v>45871.125</v>
      </c>
      <c r="D81">
        <v>113343.12</v>
      </c>
      <c r="E81">
        <v>114050.6</v>
      </c>
      <c r="F81">
        <v>112000</v>
      </c>
      <c r="G81">
        <v>112784.96000000001</v>
      </c>
      <c r="H81">
        <v>17.783010000000001</v>
      </c>
      <c r="I81" s="2">
        <v>45872.124999988424</v>
      </c>
      <c r="J81">
        <v>2012789.5484038</v>
      </c>
      <c r="K81">
        <v>1508</v>
      </c>
    </row>
    <row r="82" spans="1:11" x14ac:dyDescent="0.2">
      <c r="A82" s="1">
        <v>45872</v>
      </c>
      <c r="B82" t="s">
        <v>11</v>
      </c>
      <c r="C82" s="2">
        <v>45872.125</v>
      </c>
      <c r="D82">
        <v>112493.97</v>
      </c>
      <c r="E82">
        <v>114754.77</v>
      </c>
      <c r="F82">
        <v>111931.24</v>
      </c>
      <c r="G82">
        <v>114126.62</v>
      </c>
      <c r="H82">
        <v>6.2315899999999997</v>
      </c>
      <c r="I82" s="2">
        <v>45873.124999988424</v>
      </c>
      <c r="J82">
        <v>709477.65194560005</v>
      </c>
      <c r="K82">
        <v>1304</v>
      </c>
    </row>
    <row r="83" spans="1:11" x14ac:dyDescent="0.2">
      <c r="A83" s="1">
        <v>45873</v>
      </c>
      <c r="B83" t="s">
        <v>11</v>
      </c>
      <c r="C83" s="2">
        <v>45873.125</v>
      </c>
      <c r="D83">
        <v>114251.79</v>
      </c>
      <c r="E83">
        <v>115643.93</v>
      </c>
      <c r="F83">
        <v>114101.01</v>
      </c>
      <c r="G83">
        <v>115176.19</v>
      </c>
      <c r="H83">
        <v>17.933900000000001</v>
      </c>
      <c r="I83" s="2">
        <v>45874.124999988424</v>
      </c>
      <c r="J83">
        <v>2060954.0351005001</v>
      </c>
      <c r="K83">
        <v>1984</v>
      </c>
    </row>
    <row r="84" spans="1:11" x14ac:dyDescent="0.2">
      <c r="A84" s="1">
        <v>45874</v>
      </c>
      <c r="B84" t="s">
        <v>11</v>
      </c>
      <c r="C84" s="2">
        <v>45874.125</v>
      </c>
      <c r="D84">
        <v>115080.31</v>
      </c>
      <c r="E84">
        <v>115166.98</v>
      </c>
      <c r="F84">
        <v>112711.29</v>
      </c>
      <c r="G84">
        <v>114191.49</v>
      </c>
      <c r="H84">
        <v>7.8857699999999999</v>
      </c>
      <c r="I84" s="2">
        <v>45875.124999988424</v>
      </c>
      <c r="J84">
        <v>896331.26587670005</v>
      </c>
      <c r="K84">
        <v>1820</v>
      </c>
    </row>
    <row r="85" spans="1:11" x14ac:dyDescent="0.2">
      <c r="A85" s="1">
        <v>45875</v>
      </c>
      <c r="B85" t="s">
        <v>11</v>
      </c>
      <c r="C85" s="2">
        <v>45875.125</v>
      </c>
      <c r="D85">
        <v>114186.13</v>
      </c>
      <c r="E85">
        <v>115675.8</v>
      </c>
      <c r="F85">
        <v>112750.39999999999</v>
      </c>
      <c r="G85">
        <v>115054.66</v>
      </c>
      <c r="H85">
        <v>145.60077000000001</v>
      </c>
      <c r="I85" s="2">
        <v>45876.124999988424</v>
      </c>
      <c r="J85">
        <v>16506564.796415901</v>
      </c>
      <c r="K85">
        <v>5410</v>
      </c>
    </row>
    <row r="86" spans="1:11" x14ac:dyDescent="0.2">
      <c r="A86" s="1">
        <v>45876</v>
      </c>
      <c r="B86" t="s">
        <v>11</v>
      </c>
      <c r="C86" s="2">
        <v>45876.125</v>
      </c>
      <c r="D86">
        <v>115054.3</v>
      </c>
      <c r="E86">
        <v>117610.87</v>
      </c>
      <c r="F86">
        <v>114284.37</v>
      </c>
      <c r="G86">
        <v>117499.31</v>
      </c>
      <c r="H86">
        <v>3.80871</v>
      </c>
      <c r="I86" s="2">
        <v>45877.124999988424</v>
      </c>
      <c r="J86">
        <v>442889.89120120002</v>
      </c>
      <c r="K86">
        <v>1365</v>
      </c>
    </row>
    <row r="87" spans="1:11" x14ac:dyDescent="0.2">
      <c r="A87" s="1">
        <v>45877</v>
      </c>
      <c r="B87" t="s">
        <v>11</v>
      </c>
      <c r="C87" s="2">
        <v>45877.125</v>
      </c>
      <c r="D87">
        <v>117499.31</v>
      </c>
      <c r="E87">
        <v>117664.42</v>
      </c>
      <c r="F87">
        <v>115897.93</v>
      </c>
      <c r="G87">
        <v>116929.14</v>
      </c>
      <c r="H87">
        <v>4.2543199999999999</v>
      </c>
      <c r="I87" s="2">
        <v>45878.124999988424</v>
      </c>
      <c r="J87">
        <v>496449.30470939999</v>
      </c>
      <c r="K87">
        <v>1453</v>
      </c>
    </row>
    <row r="88" spans="1:11" x14ac:dyDescent="0.2">
      <c r="A88" s="1">
        <v>45878</v>
      </c>
      <c r="B88" t="s">
        <v>11</v>
      </c>
      <c r="C88" s="2">
        <v>45878.125</v>
      </c>
      <c r="D88">
        <v>116918.75</v>
      </c>
      <c r="E88">
        <v>117871.54</v>
      </c>
      <c r="F88">
        <v>116369</v>
      </c>
      <c r="G88">
        <v>116469</v>
      </c>
      <c r="H88">
        <v>4.5855600000000001</v>
      </c>
      <c r="I88" s="2">
        <v>45879.124999988424</v>
      </c>
      <c r="J88">
        <v>535514.00746590004</v>
      </c>
      <c r="K88">
        <v>1407</v>
      </c>
    </row>
    <row r="89" spans="1:11" x14ac:dyDescent="0.2">
      <c r="A89" s="1">
        <v>45879</v>
      </c>
      <c r="B89" t="s">
        <v>11</v>
      </c>
      <c r="C89" s="2">
        <v>45879.125</v>
      </c>
      <c r="D89">
        <v>116469.01</v>
      </c>
      <c r="E89">
        <v>119253.82</v>
      </c>
      <c r="F89">
        <v>116469.01</v>
      </c>
      <c r="G89">
        <v>118980.47</v>
      </c>
      <c r="H89">
        <v>10.40972</v>
      </c>
      <c r="I89" s="2">
        <v>45880.124999988424</v>
      </c>
      <c r="J89">
        <v>1231231.81057</v>
      </c>
      <c r="K89">
        <v>1792</v>
      </c>
    </row>
    <row r="90" spans="1:11" x14ac:dyDescent="0.2">
      <c r="A90" s="1">
        <v>45880</v>
      </c>
      <c r="B90" t="s">
        <v>11</v>
      </c>
      <c r="C90" s="2">
        <v>45880.125</v>
      </c>
      <c r="D90">
        <v>119212.55</v>
      </c>
      <c r="E90">
        <v>122262.32</v>
      </c>
      <c r="F90">
        <v>118156.59</v>
      </c>
      <c r="G90">
        <v>118808.69</v>
      </c>
      <c r="H90">
        <v>20.537019999999998</v>
      </c>
      <c r="I90" s="2">
        <v>45881.124999988424</v>
      </c>
      <c r="J90">
        <v>2475258.3608420002</v>
      </c>
      <c r="K90">
        <v>4592</v>
      </c>
    </row>
    <row r="91" spans="1:11" x14ac:dyDescent="0.2">
      <c r="A91" s="1">
        <v>45881</v>
      </c>
      <c r="B91" t="s">
        <v>11</v>
      </c>
      <c r="C91" s="2">
        <v>45881.125</v>
      </c>
      <c r="D91">
        <v>118805.18</v>
      </c>
      <c r="E91">
        <v>120266.64</v>
      </c>
      <c r="F91">
        <v>118306.75</v>
      </c>
      <c r="G91">
        <v>120266.64</v>
      </c>
      <c r="H91">
        <v>109.41264</v>
      </c>
      <c r="I91" s="2">
        <v>45882.124999988424</v>
      </c>
      <c r="J91">
        <v>13043623.155260701</v>
      </c>
      <c r="K91">
        <v>4256</v>
      </c>
    </row>
    <row r="92" spans="1:11" x14ac:dyDescent="0.2">
      <c r="A92" s="1">
        <v>45882</v>
      </c>
      <c r="B92" t="s">
        <v>11</v>
      </c>
      <c r="C92" s="2">
        <v>45882.125</v>
      </c>
      <c r="D92">
        <v>120084.34</v>
      </c>
      <c r="E92">
        <v>123597</v>
      </c>
      <c r="F92">
        <v>118945</v>
      </c>
      <c r="G92">
        <v>123109.9</v>
      </c>
      <c r="H92">
        <v>16.63289</v>
      </c>
      <c r="I92" s="2">
        <v>45883.124999988424</v>
      </c>
      <c r="J92">
        <v>2022525.3237224999</v>
      </c>
      <c r="K92">
        <v>3774</v>
      </c>
    </row>
    <row r="93" spans="1:11" x14ac:dyDescent="0.2">
      <c r="A93" s="1">
        <v>45883</v>
      </c>
      <c r="B93" t="s">
        <v>11</v>
      </c>
      <c r="C93" s="2">
        <v>45883.125</v>
      </c>
      <c r="D93">
        <v>123122.21</v>
      </c>
      <c r="E93">
        <v>124366.55</v>
      </c>
      <c r="F93">
        <v>117511.79</v>
      </c>
      <c r="G93">
        <v>118094.39999999999</v>
      </c>
      <c r="H93">
        <v>19.585730000000002</v>
      </c>
      <c r="I93" s="2">
        <v>45884.124999988424</v>
      </c>
      <c r="J93">
        <v>2347088.4702706998</v>
      </c>
      <c r="K93">
        <v>4352</v>
      </c>
    </row>
    <row r="94" spans="1:11" x14ac:dyDescent="0.2">
      <c r="A94" s="1">
        <v>45884</v>
      </c>
      <c r="B94" t="s">
        <v>11</v>
      </c>
      <c r="C94" s="2">
        <v>45884.125</v>
      </c>
      <c r="D94">
        <v>118286.15</v>
      </c>
      <c r="E94">
        <v>119000</v>
      </c>
      <c r="F94">
        <v>116839.76</v>
      </c>
      <c r="G94">
        <v>117335.65</v>
      </c>
      <c r="H94">
        <v>151.24918</v>
      </c>
      <c r="I94" s="2">
        <v>45885.124999988424</v>
      </c>
      <c r="J94">
        <v>17866113.822239701</v>
      </c>
      <c r="K94">
        <v>9101</v>
      </c>
    </row>
    <row r="95" spans="1:11" x14ac:dyDescent="0.2">
      <c r="A95" s="1">
        <v>45885</v>
      </c>
      <c r="B95" t="s">
        <v>11</v>
      </c>
      <c r="C95" s="2">
        <v>45885.125</v>
      </c>
      <c r="D95">
        <v>117313.89</v>
      </c>
      <c r="E95">
        <v>117893.01</v>
      </c>
      <c r="F95">
        <v>117156.45</v>
      </c>
      <c r="G95">
        <v>117385.76</v>
      </c>
      <c r="H95">
        <v>1.8231200000000001</v>
      </c>
      <c r="I95" s="2">
        <v>45886.124999988424</v>
      </c>
      <c r="J95">
        <v>214379.6545341</v>
      </c>
      <c r="K95">
        <v>1093</v>
      </c>
    </row>
    <row r="96" spans="1:11" x14ac:dyDescent="0.2">
      <c r="A96" s="1">
        <v>45886</v>
      </c>
      <c r="B96" t="s">
        <v>11</v>
      </c>
      <c r="C96" s="2">
        <v>45886.125</v>
      </c>
      <c r="D96">
        <v>117374.02</v>
      </c>
      <c r="E96">
        <v>118500</v>
      </c>
      <c r="F96">
        <v>117214.69</v>
      </c>
      <c r="G96">
        <v>117444.35</v>
      </c>
      <c r="H96">
        <v>2.9514499999999999</v>
      </c>
      <c r="I96" s="2">
        <v>45887.124999988424</v>
      </c>
      <c r="J96">
        <v>347861.34383610002</v>
      </c>
      <c r="K96">
        <v>1271</v>
      </c>
    </row>
    <row r="97" spans="1:11" x14ac:dyDescent="0.2">
      <c r="A97" s="1">
        <v>45887</v>
      </c>
      <c r="B97" t="s">
        <v>11</v>
      </c>
      <c r="C97" s="2">
        <v>45887.125</v>
      </c>
      <c r="D97">
        <v>117421.21</v>
      </c>
      <c r="E97">
        <v>117574.48</v>
      </c>
      <c r="F97">
        <v>114850</v>
      </c>
      <c r="G97">
        <v>116540.82</v>
      </c>
      <c r="H97">
        <v>8.1780299999999997</v>
      </c>
      <c r="I97" s="2">
        <v>45888.124999988424</v>
      </c>
      <c r="J97">
        <v>947330.73204190005</v>
      </c>
      <c r="K97">
        <v>4250</v>
      </c>
    </row>
    <row r="98" spans="1:11" x14ac:dyDescent="0.2">
      <c r="A98" s="1">
        <v>45888</v>
      </c>
      <c r="B98" t="s">
        <v>11</v>
      </c>
      <c r="C98" s="2">
        <v>45888.125</v>
      </c>
      <c r="D98">
        <v>116214.8</v>
      </c>
      <c r="E98">
        <v>116789.1</v>
      </c>
      <c r="F98">
        <v>113000</v>
      </c>
      <c r="G98">
        <v>113000</v>
      </c>
      <c r="H98">
        <v>11.05106</v>
      </c>
      <c r="I98" s="2">
        <v>45889.124999988424</v>
      </c>
      <c r="J98">
        <v>1266248.3510566</v>
      </c>
      <c r="K98">
        <v>2173</v>
      </c>
    </row>
    <row r="99" spans="1:11" x14ac:dyDescent="0.2">
      <c r="A99" s="1">
        <v>45889</v>
      </c>
      <c r="B99" t="s">
        <v>11</v>
      </c>
      <c r="C99" s="2">
        <v>45889.125</v>
      </c>
      <c r="D99">
        <v>113000</v>
      </c>
      <c r="E99">
        <v>114748.52</v>
      </c>
      <c r="F99">
        <v>112500</v>
      </c>
      <c r="G99">
        <v>114647.28</v>
      </c>
      <c r="H99">
        <v>8.8753899999999994</v>
      </c>
      <c r="I99" s="2">
        <v>45890.124999988424</v>
      </c>
      <c r="J99">
        <v>1007012.5801200001</v>
      </c>
      <c r="K99">
        <v>1667</v>
      </c>
    </row>
    <row r="100" spans="1:11" x14ac:dyDescent="0.2">
      <c r="A100" s="1">
        <v>45890</v>
      </c>
      <c r="B100" t="s">
        <v>11</v>
      </c>
      <c r="C100" s="2">
        <v>45890.125</v>
      </c>
      <c r="D100">
        <v>114231.75</v>
      </c>
      <c r="E100">
        <v>114797.48</v>
      </c>
      <c r="F100">
        <v>112118.13</v>
      </c>
      <c r="G100">
        <v>112356.62</v>
      </c>
      <c r="H100">
        <v>4.7630999999999997</v>
      </c>
      <c r="I100" s="2">
        <v>45891.124999988424</v>
      </c>
      <c r="J100">
        <v>538466.31183170003</v>
      </c>
      <c r="K100">
        <v>1289</v>
      </c>
    </row>
    <row r="101" spans="1:11" x14ac:dyDescent="0.2">
      <c r="A101" s="1">
        <v>45891</v>
      </c>
      <c r="B101" t="s">
        <v>11</v>
      </c>
      <c r="C101" s="2">
        <v>45891.125</v>
      </c>
      <c r="D101">
        <v>112358.02</v>
      </c>
      <c r="E101">
        <v>117381.23</v>
      </c>
      <c r="F101">
        <v>111789</v>
      </c>
      <c r="G101">
        <v>116924.55</v>
      </c>
      <c r="H101">
        <v>10.770720000000001</v>
      </c>
      <c r="I101" s="2">
        <v>45892.124999988424</v>
      </c>
      <c r="J101">
        <v>1247564.2805031999</v>
      </c>
      <c r="K101">
        <v>2754</v>
      </c>
    </row>
    <row r="102" spans="1:11" x14ac:dyDescent="0.2">
      <c r="A102" s="1">
        <v>45892</v>
      </c>
      <c r="B102" t="s">
        <v>11</v>
      </c>
      <c r="C102" s="2">
        <v>45892.125</v>
      </c>
      <c r="D102">
        <v>116924.56</v>
      </c>
      <c r="E102">
        <v>118000</v>
      </c>
      <c r="F102">
        <v>114798.62</v>
      </c>
      <c r="G102">
        <v>115500.01</v>
      </c>
      <c r="H102">
        <v>66.216650000000001</v>
      </c>
      <c r="I102" s="2">
        <v>45893.124999988424</v>
      </c>
      <c r="J102">
        <v>7701905.5844286</v>
      </c>
      <c r="K102">
        <v>7247</v>
      </c>
    </row>
    <row r="103" spans="1:11" x14ac:dyDescent="0.2">
      <c r="A103" s="1">
        <v>45893</v>
      </c>
      <c r="B103" t="s">
        <v>11</v>
      </c>
      <c r="C103" s="2">
        <v>45893.125</v>
      </c>
      <c r="D103">
        <v>115500.02</v>
      </c>
      <c r="E103">
        <v>115699.98</v>
      </c>
      <c r="F103">
        <v>110826.45</v>
      </c>
      <c r="G103">
        <v>113400.01</v>
      </c>
      <c r="H103">
        <v>80.738839999999996</v>
      </c>
      <c r="I103" s="2">
        <v>45894.124999988424</v>
      </c>
      <c r="J103">
        <v>9217671.9067201</v>
      </c>
      <c r="K103">
        <v>6048</v>
      </c>
    </row>
    <row r="104" spans="1:11" x14ac:dyDescent="0.2">
      <c r="A104" s="1">
        <v>45894</v>
      </c>
      <c r="B104" t="s">
        <v>11</v>
      </c>
      <c r="C104" s="2">
        <v>45894.125</v>
      </c>
      <c r="D104">
        <v>113400.01</v>
      </c>
      <c r="E104">
        <v>113543.14</v>
      </c>
      <c r="F104">
        <v>109328</v>
      </c>
      <c r="G104">
        <v>110393.58</v>
      </c>
      <c r="H104">
        <v>15.78654</v>
      </c>
      <c r="I104" s="2">
        <v>45895.124999988424</v>
      </c>
      <c r="J104">
        <v>1753232.2299661001</v>
      </c>
      <c r="K104">
        <v>2813</v>
      </c>
    </row>
    <row r="105" spans="1:11" x14ac:dyDescent="0.2">
      <c r="A105" s="1">
        <v>45895</v>
      </c>
      <c r="B105" t="s">
        <v>11</v>
      </c>
      <c r="C105" s="2">
        <v>45895.125</v>
      </c>
      <c r="D105">
        <v>110088.09</v>
      </c>
      <c r="E105">
        <v>112315.57</v>
      </c>
      <c r="F105">
        <v>108756.91</v>
      </c>
      <c r="G105">
        <v>111761.32</v>
      </c>
      <c r="H105">
        <v>6.9855400000000003</v>
      </c>
      <c r="I105" s="2">
        <v>45896.124999988424</v>
      </c>
      <c r="J105">
        <v>769363.30120420002</v>
      </c>
      <c r="K105">
        <v>1841</v>
      </c>
    </row>
    <row r="106" spans="1:11" x14ac:dyDescent="0.2">
      <c r="A106" s="1">
        <v>45896</v>
      </c>
      <c r="B106" t="s">
        <v>11</v>
      </c>
      <c r="C106" s="2">
        <v>45896.125</v>
      </c>
      <c r="D106">
        <v>112075.57</v>
      </c>
      <c r="E106">
        <v>112599.99</v>
      </c>
      <c r="F106">
        <v>110408.71</v>
      </c>
      <c r="G106">
        <v>111486.86</v>
      </c>
      <c r="H106">
        <v>3.3832399999999998</v>
      </c>
      <c r="I106" s="2">
        <v>45897.124999988424</v>
      </c>
      <c r="J106">
        <v>378057.80579170003</v>
      </c>
      <c r="K106">
        <v>1321</v>
      </c>
    </row>
    <row r="107" spans="1:11" x14ac:dyDescent="0.2">
      <c r="A107" s="1">
        <v>45897</v>
      </c>
      <c r="B107" t="s">
        <v>11</v>
      </c>
      <c r="C107" s="2">
        <v>45897.125</v>
      </c>
      <c r="D107">
        <v>111486.19</v>
      </c>
      <c r="E107">
        <v>113432.26</v>
      </c>
      <c r="F107">
        <v>110950.82</v>
      </c>
      <c r="G107">
        <v>112585.59</v>
      </c>
      <c r="H107">
        <v>3.5517300000000001</v>
      </c>
      <c r="I107" s="2">
        <v>45898.124999988424</v>
      </c>
      <c r="J107">
        <v>398183.61193160003</v>
      </c>
      <c r="K107">
        <v>1070</v>
      </c>
    </row>
    <row r="108" spans="1:11" x14ac:dyDescent="0.2">
      <c r="A108" s="1">
        <v>45898</v>
      </c>
      <c r="B108" t="s">
        <v>11</v>
      </c>
      <c r="C108" s="2">
        <v>45898.125</v>
      </c>
      <c r="D108">
        <v>112581.77</v>
      </c>
      <c r="E108">
        <v>112681.88</v>
      </c>
      <c r="F108">
        <v>107561.81</v>
      </c>
      <c r="G108">
        <v>108401.64</v>
      </c>
      <c r="H108">
        <v>6.5156000000000001</v>
      </c>
      <c r="I108" s="2">
        <v>45899.124999988424</v>
      </c>
      <c r="J108">
        <v>711698.54959089996</v>
      </c>
      <c r="K108">
        <v>2046</v>
      </c>
    </row>
    <row r="109" spans="1:11" x14ac:dyDescent="0.2">
      <c r="A109" s="1">
        <v>45899</v>
      </c>
      <c r="B109" t="s">
        <v>11</v>
      </c>
      <c r="C109" s="2">
        <v>45899.125</v>
      </c>
      <c r="D109">
        <v>108304</v>
      </c>
      <c r="E109">
        <v>108982.28</v>
      </c>
      <c r="F109">
        <v>107443.08</v>
      </c>
      <c r="G109">
        <v>108569.75</v>
      </c>
      <c r="H109">
        <v>7.3687199999999997</v>
      </c>
      <c r="I109" s="2">
        <v>45900.124999988424</v>
      </c>
      <c r="J109">
        <v>799850.61867470003</v>
      </c>
      <c r="K109">
        <v>1151</v>
      </c>
    </row>
    <row r="110" spans="1:11" x14ac:dyDescent="0.2">
      <c r="A110" s="1">
        <v>45900</v>
      </c>
      <c r="B110" t="s">
        <v>11</v>
      </c>
      <c r="C110" s="2">
        <v>45900.125</v>
      </c>
      <c r="D110">
        <v>108899.24</v>
      </c>
      <c r="E110">
        <v>109502.66</v>
      </c>
      <c r="F110">
        <v>108131.69</v>
      </c>
      <c r="G110">
        <v>108432.11</v>
      </c>
      <c r="H110">
        <v>2.97533</v>
      </c>
      <c r="I110" s="2">
        <v>45901.124999988424</v>
      </c>
      <c r="J110">
        <v>323466.63486950001</v>
      </c>
      <c r="K110">
        <v>1040</v>
      </c>
    </row>
    <row r="111" spans="1:11" x14ac:dyDescent="0.2">
      <c r="A111" s="1">
        <v>45901</v>
      </c>
      <c r="B111" t="s">
        <v>11</v>
      </c>
      <c r="C111" s="2">
        <v>45901.125</v>
      </c>
      <c r="D111">
        <v>108136</v>
      </c>
      <c r="E111">
        <v>109894.03</v>
      </c>
      <c r="F111">
        <v>107313.41</v>
      </c>
      <c r="G111">
        <v>109061.86</v>
      </c>
      <c r="H111">
        <v>9.4601100000000002</v>
      </c>
      <c r="I111" s="2">
        <v>45902.124999988424</v>
      </c>
      <c r="J111">
        <v>1025215.6847007</v>
      </c>
      <c r="K111">
        <v>1630</v>
      </c>
    </row>
    <row r="112" spans="1:11" x14ac:dyDescent="0.2">
      <c r="A112" s="1">
        <v>45902</v>
      </c>
      <c r="B112" t="s">
        <v>11</v>
      </c>
      <c r="C112" s="2">
        <v>45902.125</v>
      </c>
      <c r="D112">
        <v>109330.91</v>
      </c>
      <c r="E112">
        <v>111702.41</v>
      </c>
      <c r="F112">
        <v>108435.03</v>
      </c>
      <c r="G112">
        <v>111276.18</v>
      </c>
      <c r="H112">
        <v>6.0912699999999997</v>
      </c>
      <c r="I112" s="2">
        <v>45903.124999988424</v>
      </c>
      <c r="J112">
        <v>671943.33644979994</v>
      </c>
      <c r="K112">
        <v>1272</v>
      </c>
    </row>
    <row r="113" spans="1:11" x14ac:dyDescent="0.2">
      <c r="A113" s="1">
        <v>45903</v>
      </c>
      <c r="B113" t="s">
        <v>11</v>
      </c>
      <c r="C113" s="2">
        <v>45903.125</v>
      </c>
      <c r="D113">
        <v>111283.72</v>
      </c>
      <c r="E113">
        <v>112539.64</v>
      </c>
      <c r="F113">
        <v>110572.48</v>
      </c>
      <c r="G113">
        <v>111960.28</v>
      </c>
      <c r="H113">
        <v>3.9247299999999998</v>
      </c>
      <c r="I113" s="2">
        <v>45904.124999988424</v>
      </c>
      <c r="J113">
        <v>438347.23228130001</v>
      </c>
      <c r="K113">
        <v>1114</v>
      </c>
    </row>
    <row r="114" spans="1:11" x14ac:dyDescent="0.2">
      <c r="A114" s="1">
        <v>45904</v>
      </c>
      <c r="B114" t="s">
        <v>11</v>
      </c>
      <c r="C114" s="2">
        <v>45904.125</v>
      </c>
      <c r="D114">
        <v>111631.15</v>
      </c>
      <c r="E114">
        <v>112298.25</v>
      </c>
      <c r="F114">
        <v>108784</v>
      </c>
      <c r="G114">
        <v>110609.51</v>
      </c>
      <c r="H114">
        <v>7.2899599999999998</v>
      </c>
      <c r="I114" s="2">
        <v>45905.124999988424</v>
      </c>
      <c r="J114">
        <v>803619.43880949996</v>
      </c>
      <c r="K114">
        <v>2069</v>
      </c>
    </row>
    <row r="115" spans="1:11" x14ac:dyDescent="0.2">
      <c r="A115" s="1">
        <v>45905</v>
      </c>
      <c r="B115" t="s">
        <v>11</v>
      </c>
      <c r="C115" s="2">
        <v>45905.125</v>
      </c>
      <c r="D115">
        <v>110609.76</v>
      </c>
      <c r="E115">
        <v>113294.17</v>
      </c>
      <c r="F115">
        <v>108669.97</v>
      </c>
      <c r="G115">
        <v>110576.38</v>
      </c>
      <c r="H115">
        <v>4.7230299999999996</v>
      </c>
      <c r="I115" s="2">
        <v>45906.124999988424</v>
      </c>
      <c r="J115">
        <v>526173.50292370003</v>
      </c>
      <c r="K115">
        <v>1828</v>
      </c>
    </row>
    <row r="116" spans="1:11" x14ac:dyDescent="0.2">
      <c r="A116" s="1">
        <v>45906</v>
      </c>
      <c r="B116" t="s">
        <v>11</v>
      </c>
      <c r="C116" s="2">
        <v>45906.125</v>
      </c>
      <c r="D116">
        <v>110583.53</v>
      </c>
      <c r="E116">
        <v>111227.84</v>
      </c>
      <c r="F116">
        <v>109729</v>
      </c>
      <c r="G116">
        <v>110129.22</v>
      </c>
      <c r="H116">
        <v>6.1590999999999996</v>
      </c>
      <c r="I116" s="2">
        <v>45907.124999988424</v>
      </c>
      <c r="J116">
        <v>679539.88167569996</v>
      </c>
      <c r="K116">
        <v>2315</v>
      </c>
    </row>
    <row r="117" spans="1:11" x14ac:dyDescent="0.2">
      <c r="A117" s="1">
        <v>45907</v>
      </c>
      <c r="B117" t="s">
        <v>11</v>
      </c>
      <c r="C117" s="2">
        <v>45907.125</v>
      </c>
      <c r="D117">
        <v>110231.53</v>
      </c>
      <c r="E117">
        <v>111567.87</v>
      </c>
      <c r="F117">
        <v>110013.17</v>
      </c>
      <c r="G117">
        <v>111489.92</v>
      </c>
      <c r="H117">
        <v>3.3621599999999998</v>
      </c>
      <c r="I117" s="2">
        <v>45908.124999988424</v>
      </c>
      <c r="J117">
        <v>372986.01175780001</v>
      </c>
      <c r="K117">
        <v>1066</v>
      </c>
    </row>
    <row r="118" spans="1:11" x14ac:dyDescent="0.2">
      <c r="A118" s="1">
        <v>45908</v>
      </c>
      <c r="B118" t="s">
        <v>11</v>
      </c>
      <c r="C118" s="2">
        <v>45908.125</v>
      </c>
      <c r="D118">
        <v>111079.43</v>
      </c>
      <c r="E118">
        <v>112851.35</v>
      </c>
      <c r="F118">
        <v>110708.95</v>
      </c>
      <c r="G118">
        <v>111951.09</v>
      </c>
      <c r="H118">
        <v>3.22662</v>
      </c>
      <c r="I118" s="2">
        <v>45909.124999988424</v>
      </c>
      <c r="J118">
        <v>361319.73151100002</v>
      </c>
      <c r="K118">
        <v>1140</v>
      </c>
    </row>
    <row r="119" spans="1:11" x14ac:dyDescent="0.2">
      <c r="A119" s="1">
        <v>45909</v>
      </c>
      <c r="B119" t="s">
        <v>11</v>
      </c>
      <c r="C119" s="2">
        <v>45909.125</v>
      </c>
      <c r="D119">
        <v>112371.19</v>
      </c>
      <c r="E119">
        <v>113299.97</v>
      </c>
      <c r="F119">
        <v>110780.17</v>
      </c>
      <c r="G119">
        <v>111584.15</v>
      </c>
      <c r="H119">
        <v>4.8281099999999997</v>
      </c>
      <c r="I119" s="2">
        <v>45910.124999988424</v>
      </c>
      <c r="J119">
        <v>537983.63686239999</v>
      </c>
      <c r="K119">
        <v>1287</v>
      </c>
    </row>
    <row r="120" spans="1:11" x14ac:dyDescent="0.2">
      <c r="A120" s="1">
        <v>45910</v>
      </c>
      <c r="B120" t="s">
        <v>11</v>
      </c>
      <c r="C120" s="2">
        <v>45910.125</v>
      </c>
      <c r="D120">
        <v>111500</v>
      </c>
      <c r="E120">
        <v>114217.95</v>
      </c>
      <c r="F120">
        <v>110844.2</v>
      </c>
      <c r="G120">
        <v>113996.01</v>
      </c>
      <c r="H120">
        <v>6.9417999999999997</v>
      </c>
      <c r="I120" s="2">
        <v>45911.124999988424</v>
      </c>
      <c r="J120">
        <v>783679.41750670003</v>
      </c>
      <c r="K120">
        <v>1647</v>
      </c>
    </row>
    <row r="121" spans="1:11" x14ac:dyDescent="0.2">
      <c r="A121" s="1">
        <v>45911</v>
      </c>
      <c r="B121" t="s">
        <v>11</v>
      </c>
      <c r="C121" s="2">
        <v>45911.125</v>
      </c>
      <c r="D121">
        <v>113999.95</v>
      </c>
      <c r="E121">
        <v>115445</v>
      </c>
      <c r="F121">
        <v>113500.01</v>
      </c>
      <c r="G121">
        <v>115410.52</v>
      </c>
      <c r="H121">
        <v>53.032110000000003</v>
      </c>
      <c r="I121" s="2">
        <v>45912.124999988424</v>
      </c>
      <c r="J121">
        <v>6065307.2366048004</v>
      </c>
      <c r="K121">
        <v>3439</v>
      </c>
    </row>
    <row r="122" spans="1:11" x14ac:dyDescent="0.2">
      <c r="A122" s="1">
        <v>45912</v>
      </c>
      <c r="B122" t="s">
        <v>11</v>
      </c>
      <c r="C122" s="2">
        <v>45912.125</v>
      </c>
      <c r="D122">
        <v>115445</v>
      </c>
      <c r="E122">
        <v>116666.65</v>
      </c>
      <c r="F122">
        <v>114828.04</v>
      </c>
      <c r="G122">
        <v>116186.2</v>
      </c>
      <c r="H122">
        <v>5.4408099999999999</v>
      </c>
      <c r="I122" s="2">
        <v>45913.124999988424</v>
      </c>
      <c r="J122">
        <v>629947.15272240003</v>
      </c>
      <c r="K122">
        <v>1718</v>
      </c>
    </row>
    <row r="123" spans="1:11" x14ac:dyDescent="0.2">
      <c r="A123" s="1">
        <v>45913</v>
      </c>
      <c r="B123" t="s">
        <v>11</v>
      </c>
      <c r="C123" s="2">
        <v>45913.125</v>
      </c>
      <c r="D123">
        <v>116186.06</v>
      </c>
      <c r="E123">
        <v>116340.47</v>
      </c>
      <c r="F123">
        <v>114500</v>
      </c>
      <c r="G123">
        <v>115968.46</v>
      </c>
      <c r="H123">
        <v>4.6535500000000001</v>
      </c>
      <c r="I123" s="2">
        <v>45914.124999988424</v>
      </c>
      <c r="J123">
        <v>539084.49531769997</v>
      </c>
      <c r="K123">
        <v>1279</v>
      </c>
    </row>
    <row r="124" spans="1:11" x14ac:dyDescent="0.2">
      <c r="A124" s="1">
        <v>45914</v>
      </c>
      <c r="B124" t="s">
        <v>11</v>
      </c>
      <c r="C124" s="2">
        <v>45914.125</v>
      </c>
      <c r="D124">
        <v>115969.18</v>
      </c>
      <c r="E124">
        <v>116126.19</v>
      </c>
      <c r="F124">
        <v>115113.91</v>
      </c>
      <c r="G124">
        <v>115555.39</v>
      </c>
      <c r="H124">
        <v>3.9752200000000002</v>
      </c>
      <c r="I124" s="2">
        <v>45915.124999988424</v>
      </c>
      <c r="J124">
        <v>459836.78035359998</v>
      </c>
      <c r="K124">
        <v>977</v>
      </c>
    </row>
    <row r="125" spans="1:11" x14ac:dyDescent="0.2">
      <c r="A125" s="1">
        <v>45915</v>
      </c>
      <c r="B125" t="s">
        <v>11</v>
      </c>
      <c r="C125" s="2">
        <v>45915.125</v>
      </c>
      <c r="D125">
        <v>115550.3</v>
      </c>
      <c r="E125">
        <v>116644.05</v>
      </c>
      <c r="F125">
        <v>114427.37</v>
      </c>
      <c r="G125">
        <v>115259.04</v>
      </c>
      <c r="H125">
        <v>3.2602899999999999</v>
      </c>
      <c r="I125" s="2">
        <v>45916.124999988424</v>
      </c>
      <c r="J125">
        <v>376064.46511250001</v>
      </c>
      <c r="K125">
        <v>1158</v>
      </c>
    </row>
    <row r="126" spans="1:11" x14ac:dyDescent="0.2">
      <c r="A126" s="1">
        <v>45916</v>
      </c>
      <c r="B126" t="s">
        <v>11</v>
      </c>
      <c r="C126" s="2">
        <v>45916.125</v>
      </c>
      <c r="D126">
        <v>115481.78</v>
      </c>
      <c r="E126">
        <v>116962.99</v>
      </c>
      <c r="F126">
        <v>114847.53</v>
      </c>
      <c r="G126">
        <v>116860.6</v>
      </c>
      <c r="H126">
        <v>4.9921499999999996</v>
      </c>
      <c r="I126" s="2">
        <v>45917.124999988424</v>
      </c>
      <c r="J126">
        <v>580604.99864090001</v>
      </c>
      <c r="K126">
        <v>1521</v>
      </c>
    </row>
    <row r="127" spans="1:11" x14ac:dyDescent="0.2">
      <c r="A127" s="1">
        <v>45917</v>
      </c>
      <c r="B127" t="s">
        <v>11</v>
      </c>
      <c r="C127" s="2">
        <v>45917.125</v>
      </c>
      <c r="D127">
        <v>116860.59</v>
      </c>
      <c r="E127">
        <v>117278.52</v>
      </c>
      <c r="F127">
        <v>114754.79</v>
      </c>
      <c r="G127">
        <v>116571.74</v>
      </c>
      <c r="H127">
        <v>32.68094</v>
      </c>
      <c r="I127" s="2">
        <v>45918.124999988424</v>
      </c>
      <c r="J127">
        <v>3805242.8848068002</v>
      </c>
      <c r="K127">
        <v>2601</v>
      </c>
    </row>
    <row r="128" spans="1:11" x14ac:dyDescent="0.2">
      <c r="A128" s="1">
        <v>45918</v>
      </c>
      <c r="B128" t="s">
        <v>11</v>
      </c>
      <c r="C128" s="2">
        <v>45918.125</v>
      </c>
      <c r="D128">
        <v>116570.2</v>
      </c>
      <c r="E128">
        <v>117800</v>
      </c>
      <c r="F128">
        <v>115500</v>
      </c>
      <c r="G128">
        <v>116906.28</v>
      </c>
      <c r="H128">
        <v>8.96265</v>
      </c>
      <c r="I128" s="2">
        <v>45919.124999988424</v>
      </c>
      <c r="J128">
        <v>1050558.4156442999</v>
      </c>
      <c r="K128">
        <v>2483</v>
      </c>
    </row>
    <row r="129" spans="1:11" x14ac:dyDescent="0.2">
      <c r="A129" s="1">
        <v>45919</v>
      </c>
      <c r="B129" t="s">
        <v>11</v>
      </c>
      <c r="C129" s="2">
        <v>45919.125</v>
      </c>
      <c r="D129">
        <v>117287.53</v>
      </c>
      <c r="E129">
        <v>117472.66</v>
      </c>
      <c r="F129">
        <v>115136.99</v>
      </c>
      <c r="G129">
        <v>115623.64</v>
      </c>
      <c r="H129">
        <v>5.5991</v>
      </c>
      <c r="I129" s="2">
        <v>45920.124999988424</v>
      </c>
      <c r="J129">
        <v>648936.01503839996</v>
      </c>
      <c r="K129">
        <v>1561</v>
      </c>
    </row>
    <row r="130" spans="1:11" x14ac:dyDescent="0.2">
      <c r="A130" s="1">
        <v>45920</v>
      </c>
      <c r="B130" t="s">
        <v>11</v>
      </c>
      <c r="C130" s="2">
        <v>45920.125</v>
      </c>
      <c r="D130">
        <v>115404.8</v>
      </c>
      <c r="E130">
        <v>116123.15</v>
      </c>
      <c r="F130">
        <v>115352</v>
      </c>
      <c r="G130">
        <v>115814.94</v>
      </c>
      <c r="H130">
        <v>2.80966</v>
      </c>
      <c r="I130" s="2">
        <v>45921.124999988424</v>
      </c>
      <c r="J130">
        <v>325124.50019240001</v>
      </c>
      <c r="K130">
        <v>1003</v>
      </c>
    </row>
    <row r="131" spans="1:11" x14ac:dyDescent="0.2">
      <c r="A131" s="1">
        <v>45921</v>
      </c>
      <c r="B131" t="s">
        <v>11</v>
      </c>
      <c r="C131" s="2">
        <v>45921.125</v>
      </c>
      <c r="D131">
        <v>115804.86</v>
      </c>
      <c r="E131">
        <v>115963.67</v>
      </c>
      <c r="F131">
        <v>115229.33</v>
      </c>
      <c r="G131">
        <v>115459.7</v>
      </c>
      <c r="H131">
        <v>1.81073</v>
      </c>
      <c r="I131" s="2">
        <v>45922.124999988424</v>
      </c>
      <c r="J131">
        <v>209294.80143970001</v>
      </c>
      <c r="K131">
        <v>1139</v>
      </c>
    </row>
    <row r="132" spans="1:11" x14ac:dyDescent="0.2">
      <c r="A132" s="1">
        <v>45922</v>
      </c>
      <c r="B132" t="s">
        <v>11</v>
      </c>
      <c r="C132" s="2">
        <v>45922.125</v>
      </c>
      <c r="D132">
        <v>115250.83</v>
      </c>
      <c r="E132">
        <v>115449.99</v>
      </c>
      <c r="F132">
        <v>111925.96</v>
      </c>
      <c r="G132">
        <v>112805.24</v>
      </c>
      <c r="H132">
        <v>11.170489999999999</v>
      </c>
      <c r="I132" s="2">
        <v>45923.124999988424</v>
      </c>
      <c r="J132">
        <v>1262415.5714968001</v>
      </c>
      <c r="K132">
        <v>4533</v>
      </c>
    </row>
    <row r="133" spans="1:11" x14ac:dyDescent="0.2">
      <c r="A133" s="1">
        <v>45923</v>
      </c>
      <c r="B133" t="s">
        <v>11</v>
      </c>
      <c r="C133" s="2">
        <v>45923.125</v>
      </c>
      <c r="D133">
        <v>112645.69</v>
      </c>
      <c r="E133">
        <v>113119.57</v>
      </c>
      <c r="F133">
        <v>111079.46</v>
      </c>
      <c r="G133">
        <v>111917.91</v>
      </c>
      <c r="H133">
        <v>65.541669999999996</v>
      </c>
      <c r="I133" s="2">
        <v>45924.124999988424</v>
      </c>
      <c r="J133">
        <v>7343523.5389347998</v>
      </c>
      <c r="K133">
        <v>3431</v>
      </c>
    </row>
    <row r="134" spans="1:11" x14ac:dyDescent="0.2">
      <c r="A134" s="1">
        <v>45924</v>
      </c>
      <c r="B134" t="s">
        <v>11</v>
      </c>
      <c r="C134" s="2">
        <v>45924.125</v>
      </c>
      <c r="D134">
        <v>111918.38</v>
      </c>
      <c r="E134">
        <v>113882.3</v>
      </c>
      <c r="F134">
        <v>111079.47</v>
      </c>
      <c r="G134">
        <v>113223.27</v>
      </c>
      <c r="H134">
        <v>6.5960400000000003</v>
      </c>
      <c r="I134" s="2">
        <v>45925.124999988424</v>
      </c>
      <c r="J134">
        <v>745122.8837141</v>
      </c>
      <c r="K134">
        <v>1836</v>
      </c>
    </row>
    <row r="135" spans="1:11" x14ac:dyDescent="0.2">
      <c r="A135" s="1">
        <v>45925</v>
      </c>
      <c r="B135" t="s">
        <v>11</v>
      </c>
      <c r="C135" s="2">
        <v>45925.125</v>
      </c>
      <c r="D135">
        <v>113337.87</v>
      </c>
      <c r="E135">
        <v>113556.84</v>
      </c>
      <c r="F135">
        <v>108221</v>
      </c>
      <c r="G135">
        <v>108906.81</v>
      </c>
      <c r="H135">
        <v>92.798270000000002</v>
      </c>
      <c r="I135" s="2">
        <v>45926.124999988424</v>
      </c>
      <c r="J135">
        <v>10374866.4680411</v>
      </c>
      <c r="K135">
        <v>5591</v>
      </c>
    </row>
    <row r="136" spans="1:11" x14ac:dyDescent="0.2">
      <c r="A136" s="1">
        <v>45926</v>
      </c>
      <c r="B136" t="s">
        <v>11</v>
      </c>
      <c r="C136" s="2">
        <v>45926.125</v>
      </c>
      <c r="D136">
        <v>108847.85</v>
      </c>
      <c r="E136">
        <v>110350</v>
      </c>
      <c r="F136">
        <v>108228</v>
      </c>
      <c r="G136">
        <v>109725.04</v>
      </c>
      <c r="H136">
        <v>80.982190000000003</v>
      </c>
      <c r="I136" s="2">
        <v>45927.124999988424</v>
      </c>
      <c r="J136">
        <v>8832135.0412840992</v>
      </c>
      <c r="K136">
        <v>3282</v>
      </c>
    </row>
    <row r="137" spans="1:11" x14ac:dyDescent="0.2">
      <c r="A137" s="1">
        <v>45927</v>
      </c>
      <c r="B137" t="s">
        <v>11</v>
      </c>
      <c r="C137" s="2">
        <v>45927.125</v>
      </c>
      <c r="D137">
        <v>109723.92</v>
      </c>
      <c r="E137">
        <v>109804.76</v>
      </c>
      <c r="F137">
        <v>109067.06</v>
      </c>
      <c r="G137">
        <v>109558.06</v>
      </c>
      <c r="H137">
        <v>1.9214500000000001</v>
      </c>
      <c r="I137" s="2">
        <v>45928.124999988424</v>
      </c>
      <c r="J137">
        <v>210267.4834609</v>
      </c>
      <c r="K137">
        <v>954</v>
      </c>
    </row>
    <row r="138" spans="1:11" x14ac:dyDescent="0.2">
      <c r="A138" s="1">
        <v>45928</v>
      </c>
      <c r="B138" t="s">
        <v>11</v>
      </c>
      <c r="C138" s="2">
        <v>45928.125</v>
      </c>
      <c r="D138">
        <v>109753.16</v>
      </c>
      <c r="E138">
        <v>112226.72</v>
      </c>
      <c r="F138">
        <v>109200</v>
      </c>
      <c r="G138">
        <v>112083.01</v>
      </c>
      <c r="H138">
        <v>5.5527899999999999</v>
      </c>
      <c r="I138" s="2">
        <v>45929.124999988424</v>
      </c>
      <c r="J138">
        <v>611258.95865689998</v>
      </c>
      <c r="K138">
        <v>1194</v>
      </c>
    </row>
    <row r="139" spans="1:11" x14ac:dyDescent="0.2">
      <c r="A139" s="1">
        <v>45929</v>
      </c>
      <c r="B139" t="s">
        <v>11</v>
      </c>
      <c r="C139" s="2">
        <v>45929.125</v>
      </c>
      <c r="D139">
        <v>111958.17</v>
      </c>
      <c r="E139">
        <v>114349.99</v>
      </c>
      <c r="F139">
        <v>111490.24000000001</v>
      </c>
      <c r="G139">
        <v>114332.5</v>
      </c>
      <c r="H139">
        <v>9.1338699999999999</v>
      </c>
      <c r="I139" s="2">
        <v>45930.124999988424</v>
      </c>
      <c r="J139">
        <v>1034752.5968739</v>
      </c>
      <c r="K139">
        <v>1433</v>
      </c>
    </row>
    <row r="140" spans="1:11" x14ac:dyDescent="0.2">
      <c r="A140" s="1">
        <v>45930</v>
      </c>
      <c r="B140" t="s">
        <v>11</v>
      </c>
      <c r="C140" s="2">
        <v>45930.125</v>
      </c>
      <c r="D140">
        <v>114349.97</v>
      </c>
      <c r="E140">
        <v>115519.99</v>
      </c>
      <c r="F140">
        <v>112684.53</v>
      </c>
      <c r="G140">
        <v>114149.05</v>
      </c>
      <c r="H140">
        <v>65.895679999999999</v>
      </c>
      <c r="I140" s="2">
        <v>45931.124999988424</v>
      </c>
      <c r="J140">
        <v>7557578.4651603997</v>
      </c>
      <c r="K140">
        <v>2773</v>
      </c>
    </row>
    <row r="141" spans="1:11" x14ac:dyDescent="0.2">
      <c r="A141" s="1">
        <v>45931</v>
      </c>
      <c r="B141" t="s">
        <v>11</v>
      </c>
      <c r="C141" s="2">
        <v>45931.125</v>
      </c>
      <c r="D141">
        <v>114149.04</v>
      </c>
      <c r="E141">
        <v>118498.89</v>
      </c>
      <c r="F141">
        <v>113500</v>
      </c>
      <c r="G141">
        <v>118482.95</v>
      </c>
      <c r="H141">
        <v>90.263249999999999</v>
      </c>
      <c r="I141" s="2">
        <v>45932.124999988424</v>
      </c>
      <c r="J141">
        <v>10322377.5452512</v>
      </c>
      <c r="K141">
        <v>4502</v>
      </c>
    </row>
    <row r="142" spans="1:11" x14ac:dyDescent="0.2">
      <c r="A142" s="1">
        <v>45932</v>
      </c>
      <c r="B142" t="s">
        <v>11</v>
      </c>
      <c r="C142" s="2">
        <v>45932.125</v>
      </c>
      <c r="D142">
        <v>118477.94</v>
      </c>
      <c r="E142">
        <v>121000</v>
      </c>
      <c r="F142">
        <v>118298.1</v>
      </c>
      <c r="G142">
        <v>120559.88</v>
      </c>
      <c r="H142">
        <v>113.28039</v>
      </c>
      <c r="I142" s="2">
        <v>45933.124999988424</v>
      </c>
      <c r="J142">
        <v>13495620.014832299</v>
      </c>
      <c r="K142">
        <v>7262</v>
      </c>
    </row>
    <row r="143" spans="1:11" x14ac:dyDescent="0.2">
      <c r="A143" s="1">
        <v>45933</v>
      </c>
      <c r="B143" t="s">
        <v>11</v>
      </c>
      <c r="C143" s="2">
        <v>45933.125</v>
      </c>
      <c r="D143">
        <v>120559.85</v>
      </c>
      <c r="E143">
        <v>123703.93</v>
      </c>
      <c r="F143">
        <v>119320.59</v>
      </c>
      <c r="G143">
        <v>122288.94</v>
      </c>
      <c r="H143">
        <v>25.722660000000001</v>
      </c>
      <c r="I143" s="2">
        <v>45934.124999988424</v>
      </c>
      <c r="J143">
        <v>3132512.5829763999</v>
      </c>
      <c r="K143">
        <v>4176</v>
      </c>
    </row>
    <row r="144" spans="1:11" x14ac:dyDescent="0.2">
      <c r="A144" s="1">
        <v>45934</v>
      </c>
      <c r="B144" t="s">
        <v>11</v>
      </c>
      <c r="C144" s="2">
        <v>45934.125</v>
      </c>
      <c r="D144">
        <v>122288.42</v>
      </c>
      <c r="E144">
        <v>122655.94</v>
      </c>
      <c r="F144">
        <v>121509.06</v>
      </c>
      <c r="G144">
        <v>122375</v>
      </c>
      <c r="H144">
        <v>3.6691400000000001</v>
      </c>
      <c r="I144" s="2">
        <v>45935.124999988424</v>
      </c>
      <c r="J144">
        <v>448077.83695610001</v>
      </c>
      <c r="K144">
        <v>1165</v>
      </c>
    </row>
    <row r="145" spans="1:11" x14ac:dyDescent="0.2">
      <c r="A145" s="1">
        <v>45935</v>
      </c>
      <c r="B145" t="s">
        <v>11</v>
      </c>
      <c r="C145" s="2">
        <v>45935.125</v>
      </c>
      <c r="D145">
        <v>122380.23</v>
      </c>
      <c r="E145">
        <v>125493.63</v>
      </c>
      <c r="F145">
        <v>122008.95</v>
      </c>
      <c r="G145">
        <v>123294.13</v>
      </c>
      <c r="H145">
        <v>19.019590000000001</v>
      </c>
      <c r="I145" s="2">
        <v>45936.124999988424</v>
      </c>
      <c r="J145">
        <v>2357140.3618246</v>
      </c>
      <c r="K145">
        <v>4296</v>
      </c>
    </row>
    <row r="146" spans="1:11" x14ac:dyDescent="0.2">
      <c r="A146" s="1">
        <v>45936</v>
      </c>
      <c r="B146" t="s">
        <v>11</v>
      </c>
      <c r="C146" s="2">
        <v>45936.125</v>
      </c>
      <c r="D146">
        <v>123530.38</v>
      </c>
      <c r="E146">
        <v>125999</v>
      </c>
      <c r="F146">
        <v>123126.55</v>
      </c>
      <c r="G146">
        <v>124797.86</v>
      </c>
      <c r="H146">
        <v>15.079890000000001</v>
      </c>
      <c r="I146" s="2">
        <v>45937.124999988424</v>
      </c>
      <c r="J146">
        <v>1884675.7276165001</v>
      </c>
      <c r="K146">
        <v>2798</v>
      </c>
    </row>
    <row r="147" spans="1:11" x14ac:dyDescent="0.2">
      <c r="A147" s="1">
        <v>45937</v>
      </c>
      <c r="B147" t="s">
        <v>11</v>
      </c>
      <c r="C147" s="2">
        <v>45937.125</v>
      </c>
      <c r="D147">
        <v>124620.35</v>
      </c>
      <c r="E147">
        <v>125079.21</v>
      </c>
      <c r="F147">
        <v>120663.78</v>
      </c>
      <c r="G147">
        <v>121329.51</v>
      </c>
      <c r="H147">
        <v>15.062139999999999</v>
      </c>
      <c r="I147" s="2">
        <v>45938.124999988424</v>
      </c>
      <c r="J147">
        <v>1851258.7907485</v>
      </c>
      <c r="K147">
        <v>2475</v>
      </c>
    </row>
    <row r="148" spans="1:11" x14ac:dyDescent="0.2">
      <c r="A148" s="1">
        <v>45938</v>
      </c>
      <c r="B148" t="s">
        <v>11</v>
      </c>
      <c r="C148" s="2">
        <v>45938.125</v>
      </c>
      <c r="D148">
        <v>121329.48</v>
      </c>
      <c r="E148">
        <v>124126.6</v>
      </c>
      <c r="F148">
        <v>121132.18</v>
      </c>
      <c r="G148">
        <v>123455.27</v>
      </c>
      <c r="H148">
        <v>14.90663</v>
      </c>
      <c r="I148" s="2">
        <v>45939.124999988424</v>
      </c>
      <c r="J148">
        <v>1824056.9787933</v>
      </c>
      <c r="K148">
        <v>1399</v>
      </c>
    </row>
    <row r="149" spans="1:11" x14ac:dyDescent="0.2">
      <c r="A149" s="1">
        <v>45939</v>
      </c>
      <c r="B149" t="s">
        <v>11</v>
      </c>
      <c r="C149" s="2">
        <v>45939.125</v>
      </c>
      <c r="D149">
        <v>123455.15</v>
      </c>
      <c r="E149">
        <v>123677.67</v>
      </c>
      <c r="F149">
        <v>119788.83</v>
      </c>
      <c r="G149">
        <v>121658.66</v>
      </c>
      <c r="H149">
        <v>10.714270000000001</v>
      </c>
      <c r="I149" s="2">
        <v>45940.124999988424</v>
      </c>
      <c r="J149">
        <v>1300754.9925359001</v>
      </c>
      <c r="K149">
        <v>1896</v>
      </c>
    </row>
    <row r="150" spans="1:11" x14ac:dyDescent="0.2">
      <c r="A150" s="1">
        <v>45940</v>
      </c>
      <c r="B150" t="s">
        <v>11</v>
      </c>
      <c r="C150" s="2">
        <v>45940.125</v>
      </c>
      <c r="D150">
        <v>121658.58</v>
      </c>
      <c r="E150">
        <v>122478.31</v>
      </c>
      <c r="F150">
        <v>110621.07</v>
      </c>
      <c r="G150">
        <v>113189.88</v>
      </c>
      <c r="H150">
        <v>31.746040000000001</v>
      </c>
      <c r="I150" s="2">
        <v>45941.124999988424</v>
      </c>
      <c r="J150">
        <v>3658279.4268390001</v>
      </c>
      <c r="K150">
        <v>5462</v>
      </c>
    </row>
    <row r="151" spans="1:11" x14ac:dyDescent="0.2">
      <c r="A151" s="1">
        <v>45941</v>
      </c>
      <c r="B151" t="s">
        <v>11</v>
      </c>
      <c r="C151" s="2">
        <v>45941.125</v>
      </c>
      <c r="D151">
        <v>113189.97</v>
      </c>
      <c r="E151">
        <v>113423.82</v>
      </c>
      <c r="F151">
        <v>109278</v>
      </c>
      <c r="G151">
        <v>110519.44</v>
      </c>
      <c r="H151">
        <v>121.50406</v>
      </c>
      <c r="I151" s="2">
        <v>45942.124999988424</v>
      </c>
      <c r="J151">
        <v>13547972.8977623</v>
      </c>
      <c r="K151">
        <v>4724</v>
      </c>
    </row>
    <row r="152" spans="1:11" x14ac:dyDescent="0.2">
      <c r="A152" s="1">
        <v>45942</v>
      </c>
      <c r="B152" t="s">
        <v>11</v>
      </c>
      <c r="C152" s="2">
        <v>45942.125</v>
      </c>
      <c r="D152">
        <v>110519.52</v>
      </c>
      <c r="E152">
        <v>115685.35</v>
      </c>
      <c r="F152">
        <v>109597.64</v>
      </c>
      <c r="G152">
        <v>115252.21</v>
      </c>
      <c r="H152">
        <v>13.76613</v>
      </c>
      <c r="I152" s="2">
        <v>45943.124999988424</v>
      </c>
      <c r="J152">
        <v>1553060.3743425999</v>
      </c>
      <c r="K152">
        <v>2219</v>
      </c>
    </row>
    <row r="153" spans="1:11" x14ac:dyDescent="0.2">
      <c r="A153" s="1">
        <v>45943</v>
      </c>
      <c r="B153" t="s">
        <v>11</v>
      </c>
      <c r="C153" s="2">
        <v>45943.125</v>
      </c>
      <c r="D153">
        <v>114910</v>
      </c>
      <c r="E153">
        <v>115876.47</v>
      </c>
      <c r="F153">
        <v>113843.34</v>
      </c>
      <c r="G153">
        <v>115290.6</v>
      </c>
      <c r="H153">
        <v>10.996409999999999</v>
      </c>
      <c r="I153" s="2">
        <v>45944.124999988424</v>
      </c>
      <c r="J153">
        <v>1263783.2018488001</v>
      </c>
      <c r="K153">
        <v>1750</v>
      </c>
    </row>
    <row r="154" spans="1:11" x14ac:dyDescent="0.2">
      <c r="A154" s="1">
        <v>45944</v>
      </c>
      <c r="B154" t="s">
        <v>11</v>
      </c>
      <c r="C154" s="2">
        <v>45944.125</v>
      </c>
      <c r="D154">
        <v>115285.38</v>
      </c>
      <c r="E154">
        <v>115300</v>
      </c>
      <c r="F154">
        <v>109843.95</v>
      </c>
      <c r="G154">
        <v>113055.15</v>
      </c>
      <c r="H154">
        <v>11.75516</v>
      </c>
      <c r="I154" s="2">
        <v>45945.124999988424</v>
      </c>
      <c r="J154">
        <v>1318951.6054984001</v>
      </c>
      <c r="K154">
        <v>2432</v>
      </c>
    </row>
    <row r="155" spans="1:11" x14ac:dyDescent="0.2">
      <c r="A155" s="1">
        <v>45945</v>
      </c>
      <c r="B155" t="s">
        <v>11</v>
      </c>
      <c r="C155" s="2">
        <v>45945.125</v>
      </c>
      <c r="D155">
        <v>113355.98</v>
      </c>
      <c r="E155">
        <v>115000</v>
      </c>
      <c r="F155">
        <v>110192</v>
      </c>
      <c r="G155">
        <v>111188.73</v>
      </c>
      <c r="H155">
        <v>56.564549999999997</v>
      </c>
      <c r="I155" s="2">
        <v>45946.124999988424</v>
      </c>
      <c r="J155">
        <v>6347674.0736600002</v>
      </c>
      <c r="K155">
        <v>6231</v>
      </c>
    </row>
    <row r="156" spans="1:11" x14ac:dyDescent="0.2">
      <c r="A156" s="1">
        <v>45946</v>
      </c>
      <c r="B156" t="s">
        <v>11</v>
      </c>
      <c r="C156" s="2">
        <v>45946.125</v>
      </c>
      <c r="D156">
        <v>111188.68</v>
      </c>
      <c r="E156">
        <v>111935.62</v>
      </c>
      <c r="F156">
        <v>107518.39999999999</v>
      </c>
      <c r="G156">
        <v>107998.02</v>
      </c>
      <c r="H156">
        <v>235.13995</v>
      </c>
      <c r="I156" s="2">
        <v>45947.124999988424</v>
      </c>
      <c r="J156">
        <v>26108390.239380401</v>
      </c>
      <c r="K156">
        <v>3551</v>
      </c>
    </row>
    <row r="157" spans="1:11" x14ac:dyDescent="0.2">
      <c r="A157" s="1">
        <v>45947</v>
      </c>
      <c r="B157" t="s">
        <v>11</v>
      </c>
      <c r="C157" s="2">
        <v>45947.125</v>
      </c>
      <c r="D157">
        <v>108288.43</v>
      </c>
      <c r="E157">
        <v>109215.88</v>
      </c>
      <c r="F157">
        <v>103800</v>
      </c>
      <c r="G157">
        <v>106721.75</v>
      </c>
      <c r="H157">
        <v>24.40457</v>
      </c>
      <c r="I157" s="2">
        <v>45948.124999988424</v>
      </c>
      <c r="J157">
        <v>2590608.3675870001</v>
      </c>
      <c r="K157">
        <v>2742</v>
      </c>
    </row>
    <row r="158" spans="1:11" x14ac:dyDescent="0.2">
      <c r="A158" s="1">
        <v>45948</v>
      </c>
      <c r="B158" t="s">
        <v>11</v>
      </c>
      <c r="C158" s="2">
        <v>45948.125</v>
      </c>
      <c r="D158">
        <v>106715.43</v>
      </c>
      <c r="E158">
        <v>107385.82</v>
      </c>
      <c r="F158">
        <v>106368.11</v>
      </c>
      <c r="G158">
        <v>106959.99</v>
      </c>
      <c r="H158">
        <v>4.7962400000000001</v>
      </c>
      <c r="I158" s="2">
        <v>45949.124999988424</v>
      </c>
      <c r="J158">
        <v>513320.28327319998</v>
      </c>
      <c r="K158">
        <v>939</v>
      </c>
    </row>
    <row r="159" spans="1:11" x14ac:dyDescent="0.2">
      <c r="A159" s="1">
        <v>45949</v>
      </c>
      <c r="B159" t="s">
        <v>11</v>
      </c>
      <c r="C159" s="2">
        <v>45949.125</v>
      </c>
      <c r="D159">
        <v>107207.1</v>
      </c>
      <c r="E159">
        <v>109412.23</v>
      </c>
      <c r="F159">
        <v>106108</v>
      </c>
      <c r="G159">
        <v>108455.55</v>
      </c>
      <c r="H159">
        <v>7.7980299999999998</v>
      </c>
      <c r="I159" s="2">
        <v>45950.124999988424</v>
      </c>
      <c r="J159">
        <v>839300.88001990004</v>
      </c>
      <c r="K159">
        <v>1383</v>
      </c>
    </row>
    <row r="160" spans="1:11" x14ac:dyDescent="0.2">
      <c r="A160" s="1">
        <v>45950</v>
      </c>
      <c r="B160" t="s">
        <v>11</v>
      </c>
      <c r="C160" s="2">
        <v>45950.125</v>
      </c>
      <c r="D160">
        <v>108820.95</v>
      </c>
      <c r="E160">
        <v>111631.1</v>
      </c>
      <c r="F160">
        <v>107466.61</v>
      </c>
      <c r="G160">
        <v>110519.56</v>
      </c>
      <c r="H160">
        <v>10.410880000000001</v>
      </c>
      <c r="I160" s="2">
        <v>45951.124999988424</v>
      </c>
      <c r="J160">
        <v>1150010.8658497999</v>
      </c>
      <c r="K160">
        <v>1934</v>
      </c>
    </row>
    <row r="161" spans="1:11" x14ac:dyDescent="0.2">
      <c r="A161" s="1">
        <v>45951</v>
      </c>
      <c r="B161" t="s">
        <v>11</v>
      </c>
      <c r="C161" s="2">
        <v>45951.125</v>
      </c>
      <c r="D161">
        <v>110475.46</v>
      </c>
      <c r="E161">
        <v>113893.72</v>
      </c>
      <c r="F161">
        <v>107519.06</v>
      </c>
      <c r="G161">
        <v>108594.71</v>
      </c>
      <c r="H161">
        <v>11.479979999999999</v>
      </c>
      <c r="I161" s="2">
        <v>45952.124999988424</v>
      </c>
      <c r="J161">
        <v>1263905.7303324</v>
      </c>
      <c r="K161">
        <v>2501</v>
      </c>
    </row>
    <row r="162" spans="1:11" x14ac:dyDescent="0.2">
      <c r="A162" s="1">
        <v>45952</v>
      </c>
      <c r="B162" t="s">
        <v>11</v>
      </c>
      <c r="C162" s="2">
        <v>45952.125</v>
      </c>
      <c r="D162">
        <v>108329.95</v>
      </c>
      <c r="E162">
        <v>109631.42</v>
      </c>
      <c r="F162">
        <v>106745.4</v>
      </c>
      <c r="G162">
        <v>107586.53</v>
      </c>
      <c r="H162">
        <v>105.61790999999999</v>
      </c>
      <c r="I162" s="2">
        <v>45953.124999988424</v>
      </c>
      <c r="J162">
        <v>11454029.2230007</v>
      </c>
      <c r="K162">
        <v>3644</v>
      </c>
    </row>
    <row r="163" spans="1:11" x14ac:dyDescent="0.2">
      <c r="A163" s="1">
        <v>45953</v>
      </c>
      <c r="B163" t="s">
        <v>11</v>
      </c>
      <c r="C163" s="2">
        <v>45953.125</v>
      </c>
      <c r="D163">
        <v>107586.56</v>
      </c>
      <c r="E163">
        <v>111266.46</v>
      </c>
      <c r="F163">
        <v>107486.95</v>
      </c>
      <c r="G163">
        <v>110070.09</v>
      </c>
      <c r="H163">
        <v>98.718220000000002</v>
      </c>
      <c r="I163" s="2">
        <v>45954.124999988424</v>
      </c>
      <c r="J163">
        <v>10671934.7847974</v>
      </c>
      <c r="K163">
        <v>2788</v>
      </c>
    </row>
    <row r="164" spans="1:11" x14ac:dyDescent="0.2">
      <c r="A164" s="1">
        <v>45954</v>
      </c>
      <c r="B164" t="s">
        <v>11</v>
      </c>
      <c r="C164" s="2">
        <v>45954.125</v>
      </c>
      <c r="D164">
        <v>110069.99</v>
      </c>
      <c r="E164">
        <v>111935.97</v>
      </c>
      <c r="F164">
        <v>109698.11</v>
      </c>
      <c r="G164">
        <v>111030</v>
      </c>
      <c r="H164">
        <v>6.6875099999999996</v>
      </c>
      <c r="I164" s="2">
        <v>45955.124999988424</v>
      </c>
      <c r="J164">
        <v>741406.31735270005</v>
      </c>
      <c r="K164">
        <v>1353</v>
      </c>
    </row>
    <row r="165" spans="1:11" x14ac:dyDescent="0.2">
      <c r="A165" s="1">
        <v>45955</v>
      </c>
      <c r="B165" t="s">
        <v>11</v>
      </c>
      <c r="C165" s="2">
        <v>45955.125</v>
      </c>
      <c r="D165">
        <v>110942.07</v>
      </c>
      <c r="E165">
        <v>111882.18</v>
      </c>
      <c r="F165">
        <v>110500.8</v>
      </c>
      <c r="G165">
        <v>111683.45</v>
      </c>
      <c r="H165">
        <v>1.6240000000000001</v>
      </c>
      <c r="I165" s="2">
        <v>45956.124999988424</v>
      </c>
      <c r="J165">
        <v>180650.71734810001</v>
      </c>
      <c r="K165">
        <v>902</v>
      </c>
    </row>
    <row r="166" spans="1:11" x14ac:dyDescent="0.2">
      <c r="A166" s="1">
        <v>45956</v>
      </c>
      <c r="B166" t="s">
        <v>11</v>
      </c>
      <c r="C166" s="2">
        <v>45956.125</v>
      </c>
      <c r="D166">
        <v>111370.5</v>
      </c>
      <c r="E166">
        <v>115281.19</v>
      </c>
      <c r="F166">
        <v>111190.13</v>
      </c>
      <c r="G166">
        <v>114687.19</v>
      </c>
      <c r="H166">
        <v>4.9779799999999996</v>
      </c>
      <c r="I166" s="2">
        <v>45957.124999988424</v>
      </c>
      <c r="J166">
        <v>565978.48638040002</v>
      </c>
      <c r="K166">
        <v>1394</v>
      </c>
    </row>
    <row r="167" spans="1:11" x14ac:dyDescent="0.2">
      <c r="A167" s="1">
        <v>45957</v>
      </c>
      <c r="B167" t="s">
        <v>11</v>
      </c>
      <c r="C167" s="2">
        <v>45957.125</v>
      </c>
      <c r="D167">
        <v>114686.07</v>
      </c>
      <c r="E167">
        <v>116266.27</v>
      </c>
      <c r="F167">
        <v>113876.19</v>
      </c>
      <c r="G167">
        <v>114210</v>
      </c>
      <c r="H167">
        <v>5.5651700000000002</v>
      </c>
      <c r="I167" s="2">
        <v>45958.124999988424</v>
      </c>
      <c r="J167">
        <v>641100.4974774</v>
      </c>
      <c r="K167">
        <v>1409</v>
      </c>
    </row>
    <row r="168" spans="1:11" x14ac:dyDescent="0.2">
      <c r="A168" s="1">
        <v>45958</v>
      </c>
      <c r="B168" t="s">
        <v>11</v>
      </c>
      <c r="C168" s="2">
        <v>45958.125</v>
      </c>
      <c r="D168">
        <v>113923.68</v>
      </c>
      <c r="E168">
        <v>116000</v>
      </c>
      <c r="F168">
        <v>112251.72</v>
      </c>
      <c r="G168">
        <v>112858.98</v>
      </c>
      <c r="H168">
        <v>7.9882600000000004</v>
      </c>
      <c r="I168" s="2">
        <v>45959.124999988424</v>
      </c>
      <c r="J168">
        <v>912910.45011209999</v>
      </c>
      <c r="K168">
        <v>1692</v>
      </c>
    </row>
    <row r="169" spans="1:11" x14ac:dyDescent="0.2">
      <c r="A169" s="1">
        <v>45959</v>
      </c>
      <c r="B169" t="s">
        <v>11</v>
      </c>
      <c r="C169" s="2">
        <v>45959.125</v>
      </c>
      <c r="D169">
        <v>112858.99</v>
      </c>
      <c r="E169">
        <v>113616.07</v>
      </c>
      <c r="F169">
        <v>109357.82</v>
      </c>
      <c r="G169">
        <v>110145.05</v>
      </c>
      <c r="H169">
        <v>12.659879999999999</v>
      </c>
      <c r="I169" s="2">
        <v>45960.124999988424</v>
      </c>
      <c r="J169">
        <v>1407321.4935955999</v>
      </c>
      <c r="K169">
        <v>1893</v>
      </c>
    </row>
    <row r="170" spans="1:11" x14ac:dyDescent="0.2">
      <c r="A170" s="1">
        <v>45960</v>
      </c>
      <c r="B170" t="s">
        <v>11</v>
      </c>
      <c r="C170" s="2">
        <v>45960.125</v>
      </c>
      <c r="D170">
        <v>110143.82</v>
      </c>
      <c r="E170">
        <v>111544.84</v>
      </c>
      <c r="F170">
        <v>106306.83</v>
      </c>
      <c r="G170">
        <v>108301.73</v>
      </c>
      <c r="H170">
        <v>10.88125</v>
      </c>
      <c r="I170" s="2">
        <v>45961.124999988424</v>
      </c>
      <c r="J170">
        <v>1174336.6729971</v>
      </c>
      <c r="K170">
        <v>2357</v>
      </c>
    </row>
    <row r="171" spans="1:11" x14ac:dyDescent="0.2">
      <c r="A171" s="1">
        <v>45961</v>
      </c>
      <c r="B171" t="s">
        <v>11</v>
      </c>
      <c r="C171" s="2">
        <v>45961.125</v>
      </c>
      <c r="D171">
        <v>108333.27</v>
      </c>
      <c r="E171">
        <v>111113.46</v>
      </c>
      <c r="F171">
        <v>108297.24</v>
      </c>
      <c r="G171">
        <v>109740.02</v>
      </c>
      <c r="H171">
        <v>4.7951699999999997</v>
      </c>
      <c r="I171" s="2">
        <v>45962.124999988424</v>
      </c>
      <c r="J171">
        <v>526326.75912649999</v>
      </c>
      <c r="K171">
        <v>1527</v>
      </c>
    </row>
    <row r="172" spans="1:11" x14ac:dyDescent="0.2">
      <c r="A172" s="1">
        <v>45962</v>
      </c>
      <c r="B172" t="s">
        <v>11</v>
      </c>
      <c r="C172" s="2">
        <v>45962.125</v>
      </c>
      <c r="D172">
        <v>109739.4</v>
      </c>
      <c r="E172">
        <v>110571.05</v>
      </c>
      <c r="F172">
        <v>109368.37</v>
      </c>
      <c r="G172">
        <v>110000.17</v>
      </c>
      <c r="H172">
        <v>2.5808200000000001</v>
      </c>
      <c r="I172" s="2">
        <v>45963.124999988424</v>
      </c>
      <c r="J172">
        <v>283999.35535149998</v>
      </c>
      <c r="K172">
        <v>959</v>
      </c>
    </row>
    <row r="173" spans="1:11" x14ac:dyDescent="0.2">
      <c r="A173" s="1">
        <v>45963</v>
      </c>
      <c r="B173" t="s">
        <v>11</v>
      </c>
      <c r="C173" s="2">
        <v>45963.125</v>
      </c>
      <c r="D173">
        <v>110180.35</v>
      </c>
      <c r="E173">
        <v>111234.51</v>
      </c>
      <c r="F173">
        <v>109500</v>
      </c>
      <c r="G173">
        <v>110675.77</v>
      </c>
      <c r="H173">
        <v>1.33874</v>
      </c>
      <c r="I173" s="2">
        <v>45964.124999988424</v>
      </c>
      <c r="J173">
        <v>147597.23227129999</v>
      </c>
      <c r="K173">
        <v>959</v>
      </c>
    </row>
    <row r="174" spans="1:11" x14ac:dyDescent="0.2">
      <c r="A174" s="1">
        <v>45964</v>
      </c>
      <c r="B174" t="s">
        <v>11</v>
      </c>
      <c r="C174" s="2">
        <v>45964.125</v>
      </c>
      <c r="D174">
        <v>110719.97</v>
      </c>
      <c r="E174">
        <v>110750.32</v>
      </c>
      <c r="F174">
        <v>105352.99</v>
      </c>
      <c r="G174">
        <v>106350.88</v>
      </c>
      <c r="H174">
        <v>22.16319</v>
      </c>
      <c r="I174" s="2">
        <v>45965.124999988424</v>
      </c>
      <c r="J174">
        <v>2368559.6878419998</v>
      </c>
      <c r="K174">
        <v>2155</v>
      </c>
    </row>
    <row r="175" spans="1:11" x14ac:dyDescent="0.2">
      <c r="A175" s="1">
        <v>45965</v>
      </c>
      <c r="B175" t="s">
        <v>11</v>
      </c>
      <c r="C175" s="2">
        <v>45965.125</v>
      </c>
      <c r="D175">
        <v>106352.22</v>
      </c>
      <c r="E175">
        <v>107278.39</v>
      </c>
      <c r="F175">
        <v>99000.03</v>
      </c>
      <c r="G175">
        <v>101752.18</v>
      </c>
      <c r="H175">
        <v>38.555660000000003</v>
      </c>
      <c r="I175" s="2">
        <v>45966.124999988424</v>
      </c>
      <c r="J175">
        <v>3929446.5373427002</v>
      </c>
      <c r="K175">
        <v>3125</v>
      </c>
    </row>
    <row r="176" spans="1:11" x14ac:dyDescent="0.2">
      <c r="A176" s="1">
        <v>45966</v>
      </c>
      <c r="B176" t="s">
        <v>11</v>
      </c>
      <c r="C176" s="2">
        <v>45966.125</v>
      </c>
      <c r="D176">
        <v>101380.85</v>
      </c>
      <c r="E176">
        <v>104500</v>
      </c>
      <c r="F176">
        <v>99000</v>
      </c>
      <c r="G176">
        <v>104097.61</v>
      </c>
      <c r="H176">
        <v>17.752759999999999</v>
      </c>
      <c r="I176" s="2">
        <v>45967.124999988424</v>
      </c>
      <c r="J176">
        <v>1813171.8325513001</v>
      </c>
      <c r="K176">
        <v>1743</v>
      </c>
    </row>
    <row r="177" spans="1:11" x14ac:dyDescent="0.2">
      <c r="A177" s="1">
        <v>45967</v>
      </c>
      <c r="B177" t="s">
        <v>11</v>
      </c>
      <c r="C177" s="2">
        <v>45967.125</v>
      </c>
      <c r="D177">
        <v>103816.47</v>
      </c>
      <c r="E177">
        <v>104126.07</v>
      </c>
      <c r="F177">
        <v>100380.68</v>
      </c>
      <c r="G177">
        <v>101449.54</v>
      </c>
      <c r="H177">
        <v>12.12166</v>
      </c>
      <c r="I177" s="2">
        <v>45968.124999988424</v>
      </c>
      <c r="J177">
        <v>1242672.5424351001</v>
      </c>
      <c r="K177">
        <v>1671</v>
      </c>
    </row>
    <row r="178" spans="1:11" x14ac:dyDescent="0.2">
      <c r="A178" s="1">
        <v>45968</v>
      </c>
      <c r="B178" t="s">
        <v>11</v>
      </c>
      <c r="C178" s="2">
        <v>45968.125</v>
      </c>
      <c r="D178">
        <v>101444.75</v>
      </c>
      <c r="E178">
        <v>104037.99</v>
      </c>
      <c r="F178">
        <v>99301.26</v>
      </c>
      <c r="G178">
        <v>103700</v>
      </c>
      <c r="H178">
        <v>14.03899</v>
      </c>
      <c r="I178" s="2">
        <v>45969.124999988424</v>
      </c>
      <c r="J178">
        <v>1419506.5700707</v>
      </c>
      <c r="K178">
        <v>2640</v>
      </c>
    </row>
    <row r="179" spans="1:11" x14ac:dyDescent="0.2">
      <c r="A179" s="1">
        <v>45969</v>
      </c>
      <c r="B179" t="s">
        <v>11</v>
      </c>
      <c r="C179" s="2">
        <v>45969.125</v>
      </c>
      <c r="D179">
        <v>103364.1</v>
      </c>
      <c r="E179">
        <v>103595.71</v>
      </c>
      <c r="F179">
        <v>101512.3</v>
      </c>
      <c r="G179">
        <v>102473.99</v>
      </c>
      <c r="H179">
        <v>3.8839399999999999</v>
      </c>
      <c r="I179" s="2">
        <v>45970.124999988424</v>
      </c>
      <c r="J179">
        <v>397854.52063849999</v>
      </c>
      <c r="K179">
        <v>945</v>
      </c>
    </row>
    <row r="180" spans="1:11" x14ac:dyDescent="0.2">
      <c r="A180" s="1">
        <v>45970</v>
      </c>
      <c r="B180" t="s">
        <v>11</v>
      </c>
      <c r="C180" s="2">
        <v>45970.125</v>
      </c>
      <c r="D180">
        <v>102472.89</v>
      </c>
      <c r="E180">
        <v>105499.99</v>
      </c>
      <c r="F180">
        <v>101419.94</v>
      </c>
      <c r="G180">
        <v>104904.38</v>
      </c>
      <c r="H180">
        <v>4.8635700000000002</v>
      </c>
      <c r="I180" s="2">
        <v>45971.124999988424</v>
      </c>
      <c r="J180">
        <v>504228.0917773</v>
      </c>
      <c r="K180">
        <v>1290</v>
      </c>
    </row>
    <row r="181" spans="1:11" x14ac:dyDescent="0.2">
      <c r="A181" s="1">
        <v>45971</v>
      </c>
      <c r="B181" t="s">
        <v>11</v>
      </c>
      <c r="C181" s="2">
        <v>45971.125</v>
      </c>
      <c r="D181">
        <v>104900.18</v>
      </c>
      <c r="E181">
        <v>106633.78</v>
      </c>
      <c r="F181">
        <v>104371.8</v>
      </c>
      <c r="G181">
        <v>106194.85</v>
      </c>
      <c r="H181">
        <v>12.31884</v>
      </c>
      <c r="I181" s="2">
        <v>45972.124999988424</v>
      </c>
      <c r="J181">
        <v>1304598.8712826001</v>
      </c>
      <c r="K181">
        <v>1679</v>
      </c>
    </row>
    <row r="182" spans="1:11" x14ac:dyDescent="0.2">
      <c r="A182" s="1">
        <v>45972</v>
      </c>
      <c r="B182" t="s">
        <v>11</v>
      </c>
      <c r="C182" s="2">
        <v>45972.125</v>
      </c>
      <c r="D182">
        <v>105934.44</v>
      </c>
      <c r="E182">
        <v>107428.72</v>
      </c>
      <c r="F182">
        <v>102500.04</v>
      </c>
      <c r="G182">
        <v>103208.79</v>
      </c>
      <c r="H182">
        <v>7.7539800000000003</v>
      </c>
      <c r="I182" s="2">
        <v>45973.124999988424</v>
      </c>
      <c r="J182">
        <v>808769.66504009999</v>
      </c>
      <c r="K182">
        <v>1625</v>
      </c>
    </row>
    <row r="183" spans="1:11" x14ac:dyDescent="0.2">
      <c r="A183" s="1">
        <v>45973</v>
      </c>
      <c r="B183" t="s">
        <v>11</v>
      </c>
      <c r="C183" s="2">
        <v>45973.125</v>
      </c>
      <c r="D183">
        <v>103204.83</v>
      </c>
      <c r="E183">
        <v>105311.48</v>
      </c>
      <c r="F183">
        <v>100850</v>
      </c>
      <c r="G183">
        <v>101783.24</v>
      </c>
      <c r="H183">
        <v>5.2382900000000001</v>
      </c>
      <c r="I183" s="2">
        <v>45974.124999988424</v>
      </c>
      <c r="J183">
        <v>538525.13125109999</v>
      </c>
      <c r="K183">
        <v>1295</v>
      </c>
    </row>
    <row r="184" spans="1:11" x14ac:dyDescent="0.2">
      <c r="A184" s="1">
        <v>45974</v>
      </c>
      <c r="B184" t="s">
        <v>11</v>
      </c>
      <c r="C184" s="2">
        <v>45974.125</v>
      </c>
      <c r="D184">
        <v>101680.01</v>
      </c>
      <c r="E184">
        <v>104022.2</v>
      </c>
      <c r="F184">
        <v>98066.09</v>
      </c>
      <c r="G184">
        <v>99943.75</v>
      </c>
      <c r="H184">
        <v>21.544689999999999</v>
      </c>
      <c r="I184" s="2">
        <v>45975.124999988424</v>
      </c>
      <c r="J184">
        <v>2153774.0746245999</v>
      </c>
      <c r="K184">
        <v>2530</v>
      </c>
    </row>
    <row r="185" spans="1:11" x14ac:dyDescent="0.2">
      <c r="A185" s="1">
        <v>45975</v>
      </c>
      <c r="B185" t="s">
        <v>11</v>
      </c>
      <c r="C185" s="2">
        <v>45975.125</v>
      </c>
      <c r="D185">
        <v>99943.16</v>
      </c>
      <c r="E185">
        <v>99943.16</v>
      </c>
      <c r="F185">
        <v>94106.25</v>
      </c>
      <c r="G185">
        <v>94740.41</v>
      </c>
      <c r="H185">
        <v>25.115819999999999</v>
      </c>
      <c r="I185" s="2">
        <v>45976.124999988424</v>
      </c>
      <c r="J185">
        <v>2423682.6527164001</v>
      </c>
      <c r="K185">
        <v>3016</v>
      </c>
    </row>
    <row r="186" spans="1:11" x14ac:dyDescent="0.2">
      <c r="A186" s="1">
        <v>45976</v>
      </c>
      <c r="B186" t="s">
        <v>11</v>
      </c>
      <c r="C186" s="2">
        <v>45976.125</v>
      </c>
      <c r="D186">
        <v>94395.35</v>
      </c>
      <c r="E186">
        <v>96763.37</v>
      </c>
      <c r="F186">
        <v>94395.35</v>
      </c>
      <c r="G186">
        <v>95519.21</v>
      </c>
      <c r="H186">
        <v>4.54305</v>
      </c>
      <c r="I186" s="2">
        <v>45977.124999988424</v>
      </c>
      <c r="J186">
        <v>435914.58923839999</v>
      </c>
      <c r="K186">
        <v>1496</v>
      </c>
    </row>
    <row r="187" spans="1:11" x14ac:dyDescent="0.2">
      <c r="A187" s="1">
        <v>45977</v>
      </c>
      <c r="B187" t="s">
        <v>11</v>
      </c>
      <c r="C187" s="2">
        <v>45977.125</v>
      </c>
      <c r="D187">
        <v>95530.85</v>
      </c>
      <c r="E187">
        <v>96715.83</v>
      </c>
      <c r="F187">
        <v>93000.01</v>
      </c>
      <c r="G187">
        <v>94299.99</v>
      </c>
      <c r="H187">
        <v>8.8158899999999996</v>
      </c>
      <c r="I187" s="2">
        <v>45978.124999988424</v>
      </c>
      <c r="J187">
        <v>835011.89161539997</v>
      </c>
      <c r="K187">
        <v>1693</v>
      </c>
    </row>
    <row r="188" spans="1:11" x14ac:dyDescent="0.2">
      <c r="A188" s="1">
        <v>45978</v>
      </c>
      <c r="B188" t="s">
        <v>11</v>
      </c>
      <c r="C188" s="2">
        <v>45978.125</v>
      </c>
      <c r="D188">
        <v>94290.559999999998</v>
      </c>
      <c r="E188">
        <v>95948.96</v>
      </c>
      <c r="F188">
        <v>91325.11</v>
      </c>
      <c r="G188">
        <v>92271.38</v>
      </c>
      <c r="H188">
        <v>21.160730000000001</v>
      </c>
      <c r="I188" s="2">
        <v>45979.124999988424</v>
      </c>
      <c r="J188">
        <v>1971006.9586893001</v>
      </c>
      <c r="K188">
        <v>2485</v>
      </c>
    </row>
    <row r="189" spans="1:11" x14ac:dyDescent="0.2">
      <c r="A189" s="1">
        <v>45979</v>
      </c>
      <c r="B189" t="s">
        <v>11</v>
      </c>
      <c r="C189" s="2">
        <v>45979.125</v>
      </c>
      <c r="D189">
        <v>92015.16</v>
      </c>
      <c r="E189">
        <v>93790</v>
      </c>
      <c r="F189">
        <v>89365.82</v>
      </c>
      <c r="G189">
        <v>92944.17</v>
      </c>
      <c r="H189">
        <v>28.517289999999999</v>
      </c>
      <c r="I189" s="2">
        <v>45980.124999988424</v>
      </c>
      <c r="J189">
        <v>2602276.7962113</v>
      </c>
      <c r="K189">
        <v>2586</v>
      </c>
    </row>
    <row r="190" spans="1:11" x14ac:dyDescent="0.2">
      <c r="A190" s="1">
        <v>45980</v>
      </c>
      <c r="B190" t="s">
        <v>11</v>
      </c>
      <c r="C190" s="2">
        <v>45980.125</v>
      </c>
      <c r="D190">
        <v>92730.02</v>
      </c>
      <c r="E190">
        <v>92939.17</v>
      </c>
      <c r="F190">
        <v>88622.68</v>
      </c>
      <c r="G190">
        <v>91240.41</v>
      </c>
      <c r="H190">
        <v>16.834160000000001</v>
      </c>
      <c r="I190" s="2">
        <v>45981.124999988424</v>
      </c>
      <c r="J190">
        <v>1519304.3378273</v>
      </c>
      <c r="K190">
        <v>1892</v>
      </c>
    </row>
    <row r="191" spans="1:11" x14ac:dyDescent="0.2">
      <c r="A191" s="1">
        <v>45981</v>
      </c>
      <c r="B191" t="s">
        <v>11</v>
      </c>
      <c r="C191" s="2">
        <v>45981.125</v>
      </c>
      <c r="D191">
        <v>91533.42</v>
      </c>
      <c r="E191">
        <v>93102.64</v>
      </c>
      <c r="F191">
        <v>86146.12</v>
      </c>
      <c r="G191">
        <v>87062.01</v>
      </c>
      <c r="H191">
        <v>29.975280000000001</v>
      </c>
      <c r="I191" s="2">
        <v>45982.124999988424</v>
      </c>
      <c r="J191">
        <v>2656833.1890809</v>
      </c>
      <c r="K191">
        <v>2891</v>
      </c>
    </row>
    <row r="192" spans="1:11" x14ac:dyDescent="0.2">
      <c r="A192" s="1">
        <v>45982</v>
      </c>
      <c r="B192" t="s">
        <v>11</v>
      </c>
      <c r="C192" s="2">
        <v>45982.125</v>
      </c>
      <c r="D192">
        <v>86808.65</v>
      </c>
      <c r="E192">
        <v>87622.16</v>
      </c>
      <c r="F192">
        <v>80811.38</v>
      </c>
      <c r="G192">
        <v>85003.21</v>
      </c>
      <c r="H192">
        <v>46.717170000000003</v>
      </c>
      <c r="I192" s="2">
        <v>45983.124999988424</v>
      </c>
      <c r="J192">
        <v>3953217.5061098002</v>
      </c>
      <c r="K192">
        <v>4283</v>
      </c>
    </row>
    <row r="193" spans="1:11" x14ac:dyDescent="0.2">
      <c r="A193" s="1">
        <v>45983</v>
      </c>
      <c r="B193" t="s">
        <v>11</v>
      </c>
      <c r="C193" s="2">
        <v>45983.125</v>
      </c>
      <c r="D193">
        <v>85004.36</v>
      </c>
      <c r="E193">
        <v>85572.35</v>
      </c>
      <c r="F193">
        <v>83571.960000000006</v>
      </c>
      <c r="G193">
        <v>84670.71</v>
      </c>
      <c r="H193">
        <v>6.6620499999999998</v>
      </c>
      <c r="I193" s="2">
        <v>45984.124999988424</v>
      </c>
      <c r="J193">
        <v>563022.11156480003</v>
      </c>
      <c r="K193">
        <v>1163</v>
      </c>
    </row>
    <row r="194" spans="1:11" x14ac:dyDescent="0.2">
      <c r="A194" s="1">
        <v>45984</v>
      </c>
      <c r="B194" t="s">
        <v>11</v>
      </c>
      <c r="C194" s="2">
        <v>45984.125</v>
      </c>
      <c r="D194">
        <v>84890.99</v>
      </c>
      <c r="E194">
        <v>88141.119999999995</v>
      </c>
      <c r="F194">
        <v>84636.800000000003</v>
      </c>
      <c r="G194">
        <v>86982.78</v>
      </c>
      <c r="H194">
        <v>12.34897</v>
      </c>
      <c r="I194" s="2">
        <v>45985.124999988424</v>
      </c>
      <c r="J194">
        <v>1072023.7362277</v>
      </c>
      <c r="K194">
        <v>1729</v>
      </c>
    </row>
    <row r="195" spans="1:11" x14ac:dyDescent="0.2">
      <c r="A195" s="1">
        <v>45985</v>
      </c>
      <c r="B195" t="s">
        <v>11</v>
      </c>
      <c r="C195" s="2">
        <v>45985.125</v>
      </c>
      <c r="D195">
        <v>86983.02</v>
      </c>
      <c r="E195">
        <v>89239.96</v>
      </c>
      <c r="F195">
        <v>85352.71</v>
      </c>
      <c r="G195">
        <v>88512.08</v>
      </c>
      <c r="H195">
        <v>16.404160000000001</v>
      </c>
      <c r="I195" s="2">
        <v>45986.124999988424</v>
      </c>
      <c r="J195">
        <v>1435699.5762745</v>
      </c>
      <c r="K195">
        <v>2361</v>
      </c>
    </row>
    <row r="196" spans="1:11" x14ac:dyDescent="0.2">
      <c r="A196" s="1">
        <v>45986</v>
      </c>
      <c r="B196" t="s">
        <v>11</v>
      </c>
      <c r="C196" s="2">
        <v>45986.125</v>
      </c>
      <c r="D196">
        <v>88312.39</v>
      </c>
      <c r="E196">
        <v>88510.85</v>
      </c>
      <c r="F196">
        <v>86212.12</v>
      </c>
      <c r="G196">
        <v>87573.26</v>
      </c>
      <c r="H196">
        <v>12.896000000000001</v>
      </c>
      <c r="I196" s="2">
        <v>45987.124999988424</v>
      </c>
      <c r="J196">
        <v>1122874.2374972999</v>
      </c>
      <c r="K196">
        <v>1227</v>
      </c>
    </row>
    <row r="197" spans="1:11" x14ac:dyDescent="0.2">
      <c r="A197" s="1">
        <v>45987</v>
      </c>
      <c r="B197" t="s">
        <v>11</v>
      </c>
      <c r="C197" s="2">
        <v>45987.125</v>
      </c>
      <c r="D197">
        <v>87331.92</v>
      </c>
      <c r="E197">
        <v>90600.57</v>
      </c>
      <c r="F197">
        <v>86354.66</v>
      </c>
      <c r="G197">
        <v>90577.72</v>
      </c>
      <c r="H197">
        <v>11.86205</v>
      </c>
      <c r="I197" s="2">
        <v>45988.124999988424</v>
      </c>
      <c r="J197">
        <v>1056508.3614988001</v>
      </c>
      <c r="K197">
        <v>1429</v>
      </c>
    </row>
    <row r="198" spans="1:11" x14ac:dyDescent="0.2">
      <c r="A198" s="1">
        <v>45988</v>
      </c>
      <c r="B198" t="s">
        <v>11</v>
      </c>
      <c r="C198" s="2">
        <v>45988.125</v>
      </c>
      <c r="D198">
        <v>90574.6</v>
      </c>
      <c r="E198">
        <v>91945.46</v>
      </c>
      <c r="F198">
        <v>90144.7</v>
      </c>
      <c r="G198">
        <v>91452.2</v>
      </c>
      <c r="H198">
        <v>7.7946</v>
      </c>
      <c r="I198" s="2">
        <v>45989.124999988424</v>
      </c>
      <c r="J198">
        <v>711765.80603099999</v>
      </c>
      <c r="K198">
        <v>1404</v>
      </c>
    </row>
    <row r="199" spans="1:11" x14ac:dyDescent="0.2">
      <c r="A199" s="1">
        <v>45989</v>
      </c>
      <c r="B199" t="s">
        <v>11</v>
      </c>
      <c r="C199" s="2">
        <v>45989.125</v>
      </c>
      <c r="D199">
        <v>91268.49</v>
      </c>
      <c r="E199">
        <v>93068.58</v>
      </c>
      <c r="F199">
        <v>90242.93</v>
      </c>
      <c r="G199">
        <v>90921.52</v>
      </c>
      <c r="H199">
        <v>7.14297</v>
      </c>
      <c r="I199" s="2">
        <v>45990.124999988424</v>
      </c>
      <c r="J199">
        <v>653560.48808339995</v>
      </c>
      <c r="K199">
        <v>1646</v>
      </c>
    </row>
    <row r="200" spans="1:11" x14ac:dyDescent="0.2">
      <c r="A200" s="1">
        <v>45990</v>
      </c>
      <c r="B200" t="s">
        <v>11</v>
      </c>
      <c r="C200" s="2">
        <v>45990.125</v>
      </c>
      <c r="D200">
        <v>90804.65</v>
      </c>
      <c r="E200">
        <v>91158.03</v>
      </c>
      <c r="F200">
        <v>90211.71</v>
      </c>
      <c r="G200">
        <v>90878.9</v>
      </c>
      <c r="H200">
        <v>5.1286199999999997</v>
      </c>
      <c r="I200" s="2">
        <v>45991.124999988424</v>
      </c>
      <c r="J200">
        <v>465306.6844116</v>
      </c>
      <c r="K200">
        <v>929</v>
      </c>
    </row>
    <row r="201" spans="1:11" x14ac:dyDescent="0.2">
      <c r="A201" s="1">
        <v>45991</v>
      </c>
      <c r="B201" t="s">
        <v>11</v>
      </c>
      <c r="C201" s="2">
        <v>45991.125</v>
      </c>
      <c r="D201">
        <v>90868.68</v>
      </c>
      <c r="E201">
        <v>91970.37</v>
      </c>
      <c r="F201">
        <v>90419.25</v>
      </c>
      <c r="G201">
        <v>90589.87</v>
      </c>
      <c r="H201">
        <v>3.5564800000000001</v>
      </c>
      <c r="I201" s="2">
        <v>45992.124999988424</v>
      </c>
      <c r="J201">
        <v>324474.4424378</v>
      </c>
      <c r="K201">
        <v>1106</v>
      </c>
    </row>
    <row r="202" spans="1:11" x14ac:dyDescent="0.2">
      <c r="A202" s="1">
        <v>45992</v>
      </c>
      <c r="B202" t="s">
        <v>11</v>
      </c>
      <c r="C202" s="2">
        <v>45992.125</v>
      </c>
      <c r="D202">
        <v>90368.320000000007</v>
      </c>
      <c r="E202">
        <v>90586.46</v>
      </c>
      <c r="F202">
        <v>83876.63</v>
      </c>
      <c r="G202">
        <v>86249.78</v>
      </c>
      <c r="H202">
        <v>21.77684</v>
      </c>
      <c r="I202" s="2">
        <v>45993.124999988424</v>
      </c>
      <c r="J202">
        <v>1882957.3504562001</v>
      </c>
      <c r="K202">
        <v>2394</v>
      </c>
    </row>
    <row r="203" spans="1:11" x14ac:dyDescent="0.2">
      <c r="A203" s="1">
        <v>45993</v>
      </c>
      <c r="B203" t="s">
        <v>11</v>
      </c>
      <c r="C203" s="2">
        <v>45993.125</v>
      </c>
      <c r="D203">
        <v>86499.16</v>
      </c>
      <c r="E203">
        <v>92211.29</v>
      </c>
      <c r="F203">
        <v>86205.75</v>
      </c>
      <c r="G203">
        <v>91550.01</v>
      </c>
      <c r="H203">
        <v>11.30193</v>
      </c>
      <c r="I203" s="2">
        <v>45994.124999988424</v>
      </c>
      <c r="J203">
        <v>1011196.5435179</v>
      </c>
      <c r="K203">
        <v>2053</v>
      </c>
    </row>
    <row r="204" spans="1:11" x14ac:dyDescent="0.2">
      <c r="A204" s="1">
        <v>45994</v>
      </c>
      <c r="B204" t="s">
        <v>11</v>
      </c>
      <c r="C204" s="2">
        <v>45994.125</v>
      </c>
      <c r="D204">
        <v>91264.68</v>
      </c>
      <c r="E204">
        <v>94093.38</v>
      </c>
      <c r="F204">
        <v>91037.58</v>
      </c>
      <c r="G204">
        <v>93747.41</v>
      </c>
      <c r="H204">
        <v>13.46152</v>
      </c>
      <c r="I204" s="2">
        <v>45995.124999988424</v>
      </c>
      <c r="J204">
        <v>1247363.1024563001</v>
      </c>
      <c r="K204">
        <v>2331</v>
      </c>
    </row>
    <row r="205" spans="1:11" x14ac:dyDescent="0.2">
      <c r="A205" s="1">
        <v>45995</v>
      </c>
      <c r="B205" t="s">
        <v>11</v>
      </c>
      <c r="C205" s="2">
        <v>45995.125</v>
      </c>
      <c r="D205">
        <v>93414.85</v>
      </c>
      <c r="E205">
        <v>94068.87</v>
      </c>
      <c r="F205">
        <v>90932.86</v>
      </c>
      <c r="G205">
        <v>92125.79</v>
      </c>
      <c r="H205">
        <v>10.535819999999999</v>
      </c>
      <c r="I205" s="2">
        <v>45996.124999988424</v>
      </c>
      <c r="J205">
        <v>975358.74163269997</v>
      </c>
      <c r="K205">
        <v>1891</v>
      </c>
    </row>
    <row r="206" spans="1:11" x14ac:dyDescent="0.2">
      <c r="A206" s="1">
        <v>45996</v>
      </c>
      <c r="B206" t="s">
        <v>11</v>
      </c>
      <c r="C206" s="2">
        <v>45996.125</v>
      </c>
      <c r="D206">
        <v>92291.3</v>
      </c>
      <c r="E206">
        <v>92669.99</v>
      </c>
      <c r="F206">
        <v>88148.23</v>
      </c>
      <c r="G206">
        <v>89094.11</v>
      </c>
      <c r="H206">
        <v>8.0663300000000007</v>
      </c>
      <c r="I206" s="2">
        <v>45997.124999988424</v>
      </c>
      <c r="J206">
        <v>728027.43965079996</v>
      </c>
      <c r="K206">
        <v>1886</v>
      </c>
    </row>
    <row r="207" spans="1:11" x14ac:dyDescent="0.2">
      <c r="A207" s="1">
        <v>45997</v>
      </c>
      <c r="B207" t="s">
        <v>11</v>
      </c>
      <c r="C207" s="2">
        <v>45997.125</v>
      </c>
      <c r="D207">
        <v>89395.49</v>
      </c>
      <c r="E207">
        <v>90234.240000000005</v>
      </c>
      <c r="F207">
        <v>88939.05</v>
      </c>
      <c r="G207">
        <v>89422.79</v>
      </c>
      <c r="H207">
        <v>4.04298</v>
      </c>
      <c r="I207" s="2">
        <v>45998.124999988424</v>
      </c>
      <c r="J207">
        <v>362056.9522608</v>
      </c>
      <c r="K207">
        <v>1215</v>
      </c>
    </row>
    <row r="208" spans="1:11" x14ac:dyDescent="0.2">
      <c r="A208" s="1">
        <v>45998</v>
      </c>
      <c r="B208" t="s">
        <v>11</v>
      </c>
      <c r="C208" s="2">
        <v>45998.125</v>
      </c>
      <c r="D208">
        <v>89416.57</v>
      </c>
      <c r="E208">
        <v>91707.55</v>
      </c>
      <c r="F208">
        <v>87784.33</v>
      </c>
      <c r="G208">
        <v>90419.25</v>
      </c>
      <c r="H208">
        <v>5.3439800000000002</v>
      </c>
      <c r="I208" s="2">
        <v>45999.124999988424</v>
      </c>
      <c r="J208">
        <v>481691.2847352</v>
      </c>
      <c r="K208">
        <v>1255</v>
      </c>
    </row>
    <row r="209" spans="1:11" x14ac:dyDescent="0.2">
      <c r="A209" s="1">
        <v>45999</v>
      </c>
      <c r="B209" t="s">
        <v>11</v>
      </c>
      <c r="C209" s="2">
        <v>45999.125</v>
      </c>
      <c r="D209">
        <v>90233.88</v>
      </c>
      <c r="E209">
        <v>92257.78</v>
      </c>
      <c r="F209">
        <v>89675.81</v>
      </c>
      <c r="G209">
        <v>90817.84</v>
      </c>
      <c r="H209">
        <v>7.0643700000000003</v>
      </c>
      <c r="I209" s="2">
        <v>46000.124999988424</v>
      </c>
      <c r="J209">
        <v>640982.42938240001</v>
      </c>
      <c r="K209">
        <v>1305</v>
      </c>
    </row>
    <row r="210" spans="1:11" x14ac:dyDescent="0.2">
      <c r="A210" s="1">
        <v>46000</v>
      </c>
      <c r="B210" t="s">
        <v>11</v>
      </c>
      <c r="C210" s="2">
        <v>46000.125</v>
      </c>
      <c r="D210">
        <v>90551.18</v>
      </c>
      <c r="E210">
        <v>94629.02</v>
      </c>
      <c r="F210">
        <v>89510.8</v>
      </c>
      <c r="G210">
        <v>92974.58</v>
      </c>
      <c r="H210">
        <v>35.81223</v>
      </c>
      <c r="I210" s="2">
        <v>46001.124999988424</v>
      </c>
      <c r="J210">
        <v>3275057.0459428998</v>
      </c>
      <c r="K210">
        <v>2022</v>
      </c>
    </row>
    <row r="211" spans="1:11" x14ac:dyDescent="0.2">
      <c r="A211" s="1">
        <v>46001</v>
      </c>
      <c r="B211" t="s">
        <v>11</v>
      </c>
      <c r="C211" s="2">
        <v>46001.125</v>
      </c>
      <c r="D211">
        <v>92572.99</v>
      </c>
      <c r="E211">
        <v>94491.53</v>
      </c>
      <c r="F211">
        <v>91599.99</v>
      </c>
      <c r="G211">
        <v>91946.89</v>
      </c>
      <c r="H211">
        <v>13.822329999999999</v>
      </c>
      <c r="I211" s="2">
        <v>46002.124999988424</v>
      </c>
      <c r="J211">
        <v>1283537.6954542</v>
      </c>
      <c r="K211">
        <v>1666</v>
      </c>
    </row>
    <row r="212" spans="1:11" x14ac:dyDescent="0.2">
      <c r="A212" s="1">
        <v>46002</v>
      </c>
      <c r="B212" t="s">
        <v>11</v>
      </c>
      <c r="C212" s="2">
        <v>46002.125</v>
      </c>
      <c r="D212">
        <v>91951.14</v>
      </c>
      <c r="E212">
        <v>93496.9</v>
      </c>
      <c r="F212">
        <v>89339.11</v>
      </c>
      <c r="G212">
        <v>92596.49</v>
      </c>
      <c r="H212">
        <v>10.26806</v>
      </c>
      <c r="I212" s="2">
        <v>46003.124999988424</v>
      </c>
      <c r="J212">
        <v>931788.7188874</v>
      </c>
      <c r="K212">
        <v>1970</v>
      </c>
    </row>
    <row r="213" spans="1:11" x14ac:dyDescent="0.2">
      <c r="A213" s="1">
        <v>46003</v>
      </c>
      <c r="B213" t="s">
        <v>11</v>
      </c>
      <c r="C213" s="2">
        <v>46003.125</v>
      </c>
      <c r="D213">
        <v>92593.75</v>
      </c>
      <c r="E213">
        <v>92715.7</v>
      </c>
      <c r="F213">
        <v>89521.4</v>
      </c>
      <c r="G213">
        <v>90294.75</v>
      </c>
      <c r="H213">
        <v>10.622949999999999</v>
      </c>
      <c r="I213" s="2">
        <v>46004.124999988424</v>
      </c>
      <c r="J213">
        <v>966564.11311619997</v>
      </c>
      <c r="K213">
        <v>1796</v>
      </c>
    </row>
    <row r="214" spans="1:11" x14ac:dyDescent="0.2">
      <c r="A214" s="1">
        <v>46004</v>
      </c>
      <c r="B214" t="s">
        <v>11</v>
      </c>
      <c r="C214" s="2">
        <v>46004.125</v>
      </c>
      <c r="D214">
        <v>90366.99</v>
      </c>
      <c r="E214">
        <v>90681.45</v>
      </c>
      <c r="F214">
        <v>89822.51</v>
      </c>
      <c r="G214">
        <v>90298.85</v>
      </c>
      <c r="H214">
        <v>5.5858100000000004</v>
      </c>
      <c r="I214" s="2">
        <v>46005.124999988424</v>
      </c>
      <c r="J214">
        <v>504028.67649290001</v>
      </c>
      <c r="K214">
        <v>861</v>
      </c>
    </row>
    <row r="215" spans="1:11" x14ac:dyDescent="0.2">
      <c r="A215" s="1">
        <v>46005</v>
      </c>
      <c r="B215" t="s">
        <v>11</v>
      </c>
      <c r="C215" s="2">
        <v>46005.125</v>
      </c>
      <c r="D215">
        <v>90298.72</v>
      </c>
      <c r="E215">
        <v>90463.27</v>
      </c>
      <c r="F215">
        <v>87645.64</v>
      </c>
      <c r="G215">
        <v>88314.15</v>
      </c>
      <c r="H215">
        <v>13.973739999999999</v>
      </c>
      <c r="I215" s="2">
        <v>46006.124999988424</v>
      </c>
      <c r="J215">
        <v>1242165.8588308999</v>
      </c>
      <c r="K215">
        <v>1162</v>
      </c>
    </row>
    <row r="216" spans="1:11" x14ac:dyDescent="0.2">
      <c r="A216" s="1">
        <v>46006</v>
      </c>
      <c r="B216" t="s">
        <v>11</v>
      </c>
      <c r="C216" s="2">
        <v>46006.125</v>
      </c>
      <c r="D216">
        <v>88310.63</v>
      </c>
      <c r="E216">
        <v>89999.85</v>
      </c>
      <c r="F216">
        <v>85111.26</v>
      </c>
      <c r="G216">
        <v>86486.12</v>
      </c>
      <c r="H216">
        <v>16.637789999999999</v>
      </c>
      <c r="I216" s="2">
        <v>46007.124999988424</v>
      </c>
      <c r="J216">
        <v>1453229.7243706</v>
      </c>
      <c r="K216">
        <v>1796</v>
      </c>
    </row>
    <row r="217" spans="1:11" x14ac:dyDescent="0.2">
      <c r="A217" s="1">
        <v>46007</v>
      </c>
      <c r="B217" t="s">
        <v>11</v>
      </c>
      <c r="C217" s="2">
        <v>46007.125</v>
      </c>
      <c r="D217">
        <v>86379.42</v>
      </c>
      <c r="E217">
        <v>88111.1</v>
      </c>
      <c r="F217">
        <v>85248.37</v>
      </c>
      <c r="G217">
        <v>87630.85</v>
      </c>
      <c r="H217">
        <v>6.5630300000000004</v>
      </c>
      <c r="I217" s="2">
        <v>46008.124999988424</v>
      </c>
      <c r="J217">
        <v>570234.50263979996</v>
      </c>
      <c r="K217">
        <v>1280</v>
      </c>
    </row>
    <row r="218" spans="1:11" x14ac:dyDescent="0.2">
      <c r="A218" s="1">
        <v>46008</v>
      </c>
      <c r="B218" t="s">
        <v>11</v>
      </c>
      <c r="C218" s="2">
        <v>46008.125</v>
      </c>
      <c r="D218">
        <v>87877.6</v>
      </c>
      <c r="E218">
        <v>90268.05</v>
      </c>
      <c r="F218">
        <v>85336</v>
      </c>
      <c r="G218">
        <v>86283.3</v>
      </c>
      <c r="H218">
        <v>18.2546</v>
      </c>
      <c r="I218" s="2">
        <v>46009.124999988424</v>
      </c>
      <c r="J218">
        <v>1595589.5620389001</v>
      </c>
      <c r="K218">
        <v>1860</v>
      </c>
    </row>
    <row r="219" spans="1:11" x14ac:dyDescent="0.2">
      <c r="A219" s="1">
        <v>46009</v>
      </c>
      <c r="B219" t="s">
        <v>11</v>
      </c>
      <c r="C219" s="2">
        <v>46009.125</v>
      </c>
      <c r="D219">
        <v>86283.19</v>
      </c>
      <c r="E219">
        <v>89494.76</v>
      </c>
      <c r="F219">
        <v>84583.57</v>
      </c>
      <c r="G219">
        <v>85300</v>
      </c>
      <c r="H219">
        <v>15.52942</v>
      </c>
      <c r="I219" s="2">
        <v>46010.124999988424</v>
      </c>
      <c r="J219">
        <v>1353574.5212717</v>
      </c>
      <c r="K219">
        <v>1664</v>
      </c>
    </row>
    <row r="220" spans="1:11" x14ac:dyDescent="0.2">
      <c r="A220" s="1">
        <v>46010</v>
      </c>
      <c r="B220" t="s">
        <v>11</v>
      </c>
      <c r="C220" s="2">
        <v>46010.125</v>
      </c>
      <c r="D220">
        <v>85563.43</v>
      </c>
      <c r="E220">
        <v>89337.52</v>
      </c>
      <c r="F220">
        <v>85185.26</v>
      </c>
      <c r="G220">
        <v>88196.84</v>
      </c>
      <c r="H220">
        <v>7.5781700000000001</v>
      </c>
      <c r="I220" s="2">
        <v>46011.124999988424</v>
      </c>
      <c r="J220">
        <v>665071.64450719999</v>
      </c>
      <c r="K220">
        <v>1526</v>
      </c>
    </row>
    <row r="221" spans="1:11" x14ac:dyDescent="0.2">
      <c r="A221" s="1">
        <v>46011</v>
      </c>
      <c r="B221" t="s">
        <v>11</v>
      </c>
      <c r="C221" s="2">
        <v>46011.125</v>
      </c>
      <c r="D221">
        <v>88199.54</v>
      </c>
      <c r="E221">
        <v>88548.26</v>
      </c>
      <c r="F221">
        <v>87902.99</v>
      </c>
      <c r="G221">
        <v>88394.5</v>
      </c>
      <c r="H221">
        <v>1.6095299999999999</v>
      </c>
      <c r="I221" s="2">
        <v>46012.124999988424</v>
      </c>
      <c r="J221">
        <v>141996.8904457</v>
      </c>
      <c r="K221">
        <v>805</v>
      </c>
    </row>
    <row r="222" spans="1:11" x14ac:dyDescent="0.2">
      <c r="A222" s="1">
        <v>46012</v>
      </c>
      <c r="B222" t="s">
        <v>11</v>
      </c>
      <c r="C222" s="2">
        <v>46012.125</v>
      </c>
      <c r="D222">
        <v>88394.22</v>
      </c>
      <c r="E222">
        <v>89044.73</v>
      </c>
      <c r="F222">
        <v>87650</v>
      </c>
      <c r="G222">
        <v>88656.95</v>
      </c>
      <c r="H222">
        <v>3.04908</v>
      </c>
      <c r="I222" s="2">
        <v>46013.124999988424</v>
      </c>
      <c r="J222">
        <v>269070.60325869999</v>
      </c>
      <c r="K222">
        <v>1149</v>
      </c>
    </row>
    <row r="223" spans="1:11" x14ac:dyDescent="0.2">
      <c r="A223" s="1">
        <v>46013</v>
      </c>
      <c r="B223" t="s">
        <v>11</v>
      </c>
      <c r="C223" s="2">
        <v>46013.125</v>
      </c>
      <c r="D223">
        <v>88657.31</v>
      </c>
      <c r="E223">
        <v>90500</v>
      </c>
      <c r="F223">
        <v>87955.14</v>
      </c>
      <c r="G223">
        <v>88304.51</v>
      </c>
      <c r="H223">
        <v>23.01041</v>
      </c>
      <c r="I223" s="2">
        <v>46014.124999988424</v>
      </c>
      <c r="J223">
        <v>2063438.2868981001</v>
      </c>
      <c r="K223">
        <v>1741</v>
      </c>
    </row>
    <row r="224" spans="1:11" x14ac:dyDescent="0.2">
      <c r="A224" s="1">
        <v>46014</v>
      </c>
      <c r="B224" t="s">
        <v>11</v>
      </c>
      <c r="C224" s="2">
        <v>46014.125</v>
      </c>
      <c r="D224">
        <v>88601.69</v>
      </c>
      <c r="E224">
        <v>88900.57</v>
      </c>
      <c r="F224">
        <v>86611.31</v>
      </c>
      <c r="G224">
        <v>87328.71</v>
      </c>
      <c r="H224">
        <v>7.5001199999999999</v>
      </c>
      <c r="I224" s="2">
        <v>46015.124999988424</v>
      </c>
      <c r="J224">
        <v>656988.563616</v>
      </c>
      <c r="K224">
        <v>1417</v>
      </c>
    </row>
    <row r="225" spans="1:11" x14ac:dyDescent="0.2">
      <c r="A225" s="1">
        <v>46015</v>
      </c>
      <c r="B225" t="s">
        <v>11</v>
      </c>
      <c r="C225" s="2">
        <v>46015.125</v>
      </c>
      <c r="D225">
        <v>87600.71</v>
      </c>
      <c r="E225">
        <v>88137.63</v>
      </c>
      <c r="F225">
        <v>86499.44</v>
      </c>
      <c r="G225">
        <v>87826.28</v>
      </c>
      <c r="H225">
        <v>6.3135300000000001</v>
      </c>
      <c r="I225" s="2">
        <v>46016.124999988424</v>
      </c>
      <c r="J225">
        <v>552058.71376249997</v>
      </c>
      <c r="K225">
        <v>889</v>
      </c>
    </row>
    <row r="226" spans="1:11" x14ac:dyDescent="0.2">
      <c r="A226" s="1">
        <v>46016</v>
      </c>
      <c r="B226" t="s">
        <v>11</v>
      </c>
      <c r="C226" s="2">
        <v>46016.125</v>
      </c>
      <c r="D226">
        <v>87652.01</v>
      </c>
      <c r="E226">
        <v>88591.99</v>
      </c>
      <c r="F226">
        <v>87020.76</v>
      </c>
      <c r="G226">
        <v>87460.82</v>
      </c>
      <c r="H226">
        <v>5.2383800000000003</v>
      </c>
      <c r="I226" s="2">
        <v>46017.124999988424</v>
      </c>
      <c r="J226">
        <v>459629.21834720002</v>
      </c>
      <c r="K226">
        <v>855</v>
      </c>
    </row>
    <row r="227" spans="1:11" x14ac:dyDescent="0.2">
      <c r="A227" s="1">
        <v>46017</v>
      </c>
      <c r="B227" t="s">
        <v>11</v>
      </c>
      <c r="C227" s="2">
        <v>46017.125</v>
      </c>
      <c r="D227">
        <v>87080.44</v>
      </c>
      <c r="E227">
        <v>89512.3</v>
      </c>
      <c r="F227">
        <v>86748.15</v>
      </c>
      <c r="G227">
        <v>87338.29</v>
      </c>
      <c r="H227">
        <v>4.0602299999999998</v>
      </c>
      <c r="I227" s="2">
        <v>46018.124999988424</v>
      </c>
      <c r="J227">
        <v>358271.23018160003</v>
      </c>
      <c r="K227">
        <v>1226</v>
      </c>
    </row>
    <row r="228" spans="1:11" x14ac:dyDescent="0.2">
      <c r="A228" s="1">
        <v>46018</v>
      </c>
      <c r="B228" t="s">
        <v>11</v>
      </c>
      <c r="C228" s="2">
        <v>46018.125</v>
      </c>
      <c r="D228">
        <v>87488.46</v>
      </c>
      <c r="E228">
        <v>87931.94</v>
      </c>
      <c r="F228">
        <v>87274.76</v>
      </c>
      <c r="G228">
        <v>87931.94</v>
      </c>
      <c r="H228">
        <v>2.8654500000000001</v>
      </c>
      <c r="I228" s="2">
        <v>46019.124999988424</v>
      </c>
      <c r="J228">
        <v>250871.2576632</v>
      </c>
      <c r="K228">
        <v>852</v>
      </c>
    </row>
    <row r="229" spans="1:11" x14ac:dyDescent="0.2">
      <c r="A229" s="1">
        <v>46019</v>
      </c>
      <c r="B229" t="s">
        <v>11</v>
      </c>
      <c r="C229" s="2">
        <v>46019.125</v>
      </c>
      <c r="D229">
        <v>87708.15</v>
      </c>
      <c r="E229">
        <v>88067.4</v>
      </c>
      <c r="F229">
        <v>87483.78</v>
      </c>
      <c r="G229">
        <v>87724.87</v>
      </c>
      <c r="H229">
        <v>2.9696400000000001</v>
      </c>
      <c r="I229" s="2">
        <v>46020.124999988424</v>
      </c>
      <c r="J229">
        <v>260676.249388</v>
      </c>
      <c r="K229">
        <v>745</v>
      </c>
    </row>
    <row r="230" spans="1:11" x14ac:dyDescent="0.2">
      <c r="A230" s="1">
        <v>46020</v>
      </c>
      <c r="B230" t="s">
        <v>11</v>
      </c>
      <c r="C230" s="2">
        <v>46020.125</v>
      </c>
      <c r="D230">
        <v>87971.99</v>
      </c>
      <c r="E230">
        <v>90340.42</v>
      </c>
      <c r="F230">
        <v>86809.06</v>
      </c>
      <c r="G230">
        <v>87200.26</v>
      </c>
      <c r="H230">
        <v>13.76117</v>
      </c>
      <c r="I230" s="2">
        <v>46021.124999988424</v>
      </c>
      <c r="J230">
        <v>1220226.1323557</v>
      </c>
      <c r="K230">
        <v>1792</v>
      </c>
    </row>
    <row r="231" spans="1:11" x14ac:dyDescent="0.2">
      <c r="A231" s="1">
        <v>46021</v>
      </c>
      <c r="B231" t="s">
        <v>11</v>
      </c>
      <c r="C231" s="2">
        <v>46021.125</v>
      </c>
      <c r="D231">
        <v>87341.49</v>
      </c>
      <c r="E231">
        <v>89337.52</v>
      </c>
      <c r="F231">
        <v>86842.37</v>
      </c>
      <c r="G231">
        <v>88432.11</v>
      </c>
      <c r="H231">
        <v>14.702920000000001</v>
      </c>
      <c r="I231" s="2">
        <v>46022.124999988424</v>
      </c>
      <c r="J231">
        <v>1305015.340202</v>
      </c>
      <c r="K231">
        <v>1175</v>
      </c>
    </row>
    <row r="232" spans="1:11" x14ac:dyDescent="0.2">
      <c r="A232" s="1">
        <v>46022</v>
      </c>
      <c r="B232" t="s">
        <v>11</v>
      </c>
      <c r="C232" s="2">
        <v>46022.125</v>
      </c>
      <c r="D232">
        <v>88544.43</v>
      </c>
      <c r="E232">
        <v>89111.76</v>
      </c>
      <c r="F232">
        <v>87324.160000000003</v>
      </c>
      <c r="G232">
        <v>87709.88</v>
      </c>
      <c r="H232">
        <v>17.18336</v>
      </c>
      <c r="I232" s="2">
        <v>46023.124999988424</v>
      </c>
      <c r="J232">
        <v>1513394.3134951999</v>
      </c>
      <c r="K232">
        <v>1299</v>
      </c>
    </row>
    <row r="233" spans="1:11" x14ac:dyDescent="0.2">
      <c r="A233" s="1">
        <v>46023</v>
      </c>
      <c r="B233" t="s">
        <v>11</v>
      </c>
      <c r="C233" s="2">
        <v>46023.125</v>
      </c>
      <c r="D233">
        <v>87699.89</v>
      </c>
      <c r="E233">
        <v>88879.31</v>
      </c>
      <c r="F233">
        <v>87496.63</v>
      </c>
      <c r="G233">
        <v>88872.33</v>
      </c>
      <c r="H233">
        <v>8.3293300000000006</v>
      </c>
      <c r="I233" s="2">
        <v>46024.124999988424</v>
      </c>
      <c r="J233">
        <v>732144.20725550002</v>
      </c>
      <c r="K233">
        <v>1604</v>
      </c>
    </row>
    <row r="234" spans="1:11" x14ac:dyDescent="0.2">
      <c r="A234" s="1">
        <v>46024</v>
      </c>
      <c r="B234" t="s">
        <v>11</v>
      </c>
      <c r="C234" s="2">
        <v>46024.125</v>
      </c>
      <c r="D234">
        <v>88878.3</v>
      </c>
      <c r="E234">
        <v>91000</v>
      </c>
      <c r="F234">
        <v>88422.7</v>
      </c>
      <c r="G234">
        <v>89945.17</v>
      </c>
      <c r="H234">
        <v>572.03237999999999</v>
      </c>
      <c r="I234" s="2">
        <v>46025.124999988424</v>
      </c>
      <c r="J234">
        <v>51096662.548123799</v>
      </c>
      <c r="K234">
        <v>6464</v>
      </c>
    </row>
    <row r="235" spans="1:11" x14ac:dyDescent="0.2">
      <c r="A235" s="1">
        <v>46025</v>
      </c>
      <c r="B235" t="s">
        <v>11</v>
      </c>
      <c r="C235" s="2">
        <v>46025.125</v>
      </c>
      <c r="D235">
        <v>90154.240000000005</v>
      </c>
      <c r="E235">
        <v>90729.46</v>
      </c>
      <c r="F235">
        <v>89312.01</v>
      </c>
      <c r="G235">
        <v>90711.43</v>
      </c>
      <c r="H235">
        <v>99.465720000000005</v>
      </c>
      <c r="I235" s="2">
        <v>46026.124999988424</v>
      </c>
      <c r="J235">
        <v>8950121.2531703003</v>
      </c>
      <c r="K235">
        <v>1657</v>
      </c>
    </row>
    <row r="236" spans="1:11" x14ac:dyDescent="0.2">
      <c r="A236" s="1">
        <v>46026</v>
      </c>
      <c r="B236" t="s">
        <v>11</v>
      </c>
      <c r="C236" s="2">
        <v>46026.125</v>
      </c>
      <c r="D236">
        <v>90489.46</v>
      </c>
      <c r="E236">
        <v>91766.74</v>
      </c>
      <c r="F236">
        <v>90488.98</v>
      </c>
      <c r="G236">
        <v>91500</v>
      </c>
      <c r="H236">
        <v>27.080480000000001</v>
      </c>
      <c r="I236" s="2">
        <v>46027.124999988424</v>
      </c>
      <c r="J236">
        <v>2474390.2936892002</v>
      </c>
      <c r="K236">
        <v>1130</v>
      </c>
    </row>
    <row r="237" spans="1:11" x14ac:dyDescent="0.2">
      <c r="A237" s="1">
        <v>46027</v>
      </c>
      <c r="B237" t="s">
        <v>11</v>
      </c>
      <c r="C237" s="2">
        <v>46027.125</v>
      </c>
      <c r="D237">
        <v>91524.4</v>
      </c>
      <c r="E237">
        <v>95500</v>
      </c>
      <c r="F237">
        <v>91524.4</v>
      </c>
      <c r="G237">
        <v>94114.96</v>
      </c>
      <c r="H237">
        <v>128.14658</v>
      </c>
      <c r="I237" s="2">
        <v>46028.124999988424</v>
      </c>
      <c r="J237">
        <v>11944832.5920361</v>
      </c>
      <c r="K237">
        <v>7058</v>
      </c>
    </row>
    <row r="238" spans="1:11" x14ac:dyDescent="0.2">
      <c r="A238" s="1">
        <v>46028</v>
      </c>
      <c r="B238" t="s">
        <v>11</v>
      </c>
      <c r="C238" s="2">
        <v>46028.125</v>
      </c>
      <c r="D238">
        <v>94114.41</v>
      </c>
      <c r="E238">
        <v>94405.82</v>
      </c>
      <c r="F238">
        <v>91337.32</v>
      </c>
      <c r="G238">
        <v>93794.39</v>
      </c>
      <c r="H238">
        <v>7.5885199999999999</v>
      </c>
      <c r="I238" s="2">
        <v>46029.124999988424</v>
      </c>
      <c r="J238">
        <v>707122.80824649998</v>
      </c>
      <c r="K238">
        <v>1641</v>
      </c>
    </row>
    <row r="239" spans="1:11" x14ac:dyDescent="0.2">
      <c r="A239" s="1">
        <v>46029</v>
      </c>
      <c r="B239" t="s">
        <v>11</v>
      </c>
      <c r="C239" s="2">
        <v>46029.125</v>
      </c>
      <c r="D239">
        <v>93798.25</v>
      </c>
      <c r="E239">
        <v>93798.26</v>
      </c>
      <c r="F239">
        <v>90800</v>
      </c>
      <c r="G239">
        <v>91400.76</v>
      </c>
      <c r="H239">
        <v>97.040019999999998</v>
      </c>
      <c r="I239" s="2">
        <v>46030.124999988424</v>
      </c>
      <c r="J239">
        <v>8972215.8500449006</v>
      </c>
      <c r="K239">
        <v>1996</v>
      </c>
    </row>
    <row r="240" spans="1:11" x14ac:dyDescent="0.2">
      <c r="A240" s="1">
        <v>46030</v>
      </c>
      <c r="B240" t="s">
        <v>11</v>
      </c>
      <c r="C240" s="2">
        <v>46030.125</v>
      </c>
      <c r="D240">
        <v>91397.11</v>
      </c>
      <c r="E240">
        <v>91669.94</v>
      </c>
      <c r="F240">
        <v>89313.46</v>
      </c>
      <c r="G240">
        <v>91110.36</v>
      </c>
      <c r="H240">
        <v>8.3138299999999994</v>
      </c>
      <c r="I240" s="2">
        <v>46031.124999988424</v>
      </c>
      <c r="J240">
        <v>752994.09911169996</v>
      </c>
      <c r="K240">
        <v>1937</v>
      </c>
    </row>
    <row r="241" spans="1:11" x14ac:dyDescent="0.2">
      <c r="A241" s="1">
        <v>46031</v>
      </c>
      <c r="B241" t="s">
        <v>11</v>
      </c>
      <c r="C241" s="2">
        <v>46031.125</v>
      </c>
      <c r="D241">
        <v>91110.39</v>
      </c>
      <c r="E241">
        <v>91981.87</v>
      </c>
      <c r="F241">
        <v>89774.33</v>
      </c>
      <c r="G241">
        <v>90498.43</v>
      </c>
      <c r="H241">
        <v>5.3025900000000004</v>
      </c>
      <c r="I241" s="2">
        <v>46032.124999988424</v>
      </c>
      <c r="J241">
        <v>481673.17997370003</v>
      </c>
      <c r="K241">
        <v>1234</v>
      </c>
    </row>
    <row r="242" spans="1:11" x14ac:dyDescent="0.2">
      <c r="A242" s="1">
        <v>46032</v>
      </c>
      <c r="B242" t="s">
        <v>11</v>
      </c>
      <c r="C242" s="2">
        <v>46032.125</v>
      </c>
      <c r="D242">
        <v>90726.52</v>
      </c>
      <c r="E242">
        <v>90848.34</v>
      </c>
      <c r="F242">
        <v>90357.62</v>
      </c>
      <c r="G242">
        <v>90433.54</v>
      </c>
      <c r="H242">
        <v>3.4585599999999999</v>
      </c>
      <c r="I242" s="2">
        <v>46033.124999988424</v>
      </c>
      <c r="J242">
        <v>313320.3038083</v>
      </c>
      <c r="K242">
        <v>832</v>
      </c>
    </row>
    <row r="243" spans="1:11" x14ac:dyDescent="0.2">
      <c r="A243" s="1">
        <v>46033</v>
      </c>
      <c r="B243" t="s">
        <v>11</v>
      </c>
      <c r="C243" s="2">
        <v>46033.125</v>
      </c>
      <c r="D243">
        <v>90444.88</v>
      </c>
      <c r="E243">
        <v>91302.06</v>
      </c>
      <c r="F243">
        <v>90396.56</v>
      </c>
      <c r="G243">
        <v>90982.41</v>
      </c>
      <c r="H243">
        <v>2.0747900000000001</v>
      </c>
      <c r="I243" s="2">
        <v>46034.124999988424</v>
      </c>
      <c r="J243">
        <v>188329.4876625</v>
      </c>
      <c r="K243">
        <v>792</v>
      </c>
    </row>
    <row r="244" spans="1:11" x14ac:dyDescent="0.2">
      <c r="A244" s="1">
        <v>46034</v>
      </c>
      <c r="B244" t="s">
        <v>11</v>
      </c>
      <c r="C244" s="2">
        <v>46034.125</v>
      </c>
      <c r="D244">
        <v>90982.41</v>
      </c>
      <c r="E244">
        <v>92470.88</v>
      </c>
      <c r="F244">
        <v>90229.119999999995</v>
      </c>
      <c r="G244">
        <v>91258.72</v>
      </c>
      <c r="H244">
        <v>12.91423</v>
      </c>
      <c r="I244" s="2">
        <v>46035.124999988424</v>
      </c>
      <c r="J244">
        <v>1183504.7300533</v>
      </c>
      <c r="K244">
        <v>1920</v>
      </c>
    </row>
    <row r="245" spans="1:11" x14ac:dyDescent="0.2">
      <c r="A245" s="1">
        <v>46035</v>
      </c>
      <c r="B245" t="s">
        <v>11</v>
      </c>
      <c r="C245" s="2">
        <v>46035.125</v>
      </c>
      <c r="D245">
        <v>91306.98</v>
      </c>
      <c r="E245">
        <v>96052.22</v>
      </c>
      <c r="F245">
        <v>91057.81</v>
      </c>
      <c r="G245">
        <v>95389.66</v>
      </c>
      <c r="H245">
        <v>27.42277</v>
      </c>
      <c r="I245" s="2">
        <v>46036.124999988424</v>
      </c>
      <c r="J245">
        <v>2566302.7678696001</v>
      </c>
      <c r="K245">
        <v>3541</v>
      </c>
    </row>
    <row r="246" spans="1:11" x14ac:dyDescent="0.2">
      <c r="A246" s="1">
        <v>46036</v>
      </c>
      <c r="B246" t="s">
        <v>11</v>
      </c>
      <c r="C246" s="2">
        <v>46036.125</v>
      </c>
      <c r="D246">
        <v>95511.29</v>
      </c>
      <c r="E246">
        <v>97891.41</v>
      </c>
      <c r="F246">
        <v>94595.26</v>
      </c>
      <c r="G246">
        <v>97013.66</v>
      </c>
      <c r="H246">
        <v>26.671189999999999</v>
      </c>
      <c r="I246" s="2">
        <v>46037.124999988424</v>
      </c>
      <c r="J246">
        <v>2578198.1516562998</v>
      </c>
      <c r="K246">
        <v>3416</v>
      </c>
    </row>
    <row r="247" spans="1:11" x14ac:dyDescent="0.2">
      <c r="A247" s="1">
        <v>46037</v>
      </c>
      <c r="B247" t="s">
        <v>11</v>
      </c>
      <c r="C247" s="2">
        <v>46037.125</v>
      </c>
      <c r="D247">
        <v>96970.71</v>
      </c>
      <c r="E247">
        <v>97162.69</v>
      </c>
      <c r="F247">
        <v>95069</v>
      </c>
      <c r="G247">
        <v>95583.08</v>
      </c>
      <c r="H247">
        <v>21.93646</v>
      </c>
      <c r="I247" s="2">
        <v>46038.124999988424</v>
      </c>
      <c r="J247">
        <v>2106533.2197588002</v>
      </c>
      <c r="K247">
        <v>2728</v>
      </c>
    </row>
    <row r="248" spans="1:11" x14ac:dyDescent="0.2">
      <c r="A248" s="1">
        <v>46038</v>
      </c>
      <c r="B248" t="s">
        <v>11</v>
      </c>
      <c r="C248" s="2">
        <v>46038.125</v>
      </c>
      <c r="D248">
        <v>95586.35</v>
      </c>
      <c r="E248">
        <v>95859.81</v>
      </c>
      <c r="F248">
        <v>94281.12</v>
      </c>
      <c r="G248">
        <v>95571.68</v>
      </c>
      <c r="H248">
        <v>9.4433199999999999</v>
      </c>
      <c r="I248" s="2">
        <v>46039.124999988424</v>
      </c>
      <c r="J248">
        <v>900469.17413209996</v>
      </c>
      <c r="K248">
        <v>1712</v>
      </c>
    </row>
    <row r="249" spans="1:11" x14ac:dyDescent="0.2">
      <c r="A249" s="1">
        <v>46039</v>
      </c>
      <c r="B249" t="s">
        <v>11</v>
      </c>
      <c r="C249" s="2">
        <v>46039.125</v>
      </c>
      <c r="D249">
        <v>95562.89</v>
      </c>
      <c r="E249">
        <v>95642.81</v>
      </c>
      <c r="F249">
        <v>95044.61</v>
      </c>
      <c r="G249">
        <v>95139.13</v>
      </c>
      <c r="H249">
        <v>18.608339999999998</v>
      </c>
      <c r="I249" s="2">
        <v>46040.124999988424</v>
      </c>
      <c r="J249">
        <v>1774459.8154879999</v>
      </c>
      <c r="K249">
        <v>1094</v>
      </c>
    </row>
    <row r="250" spans="1:11" x14ac:dyDescent="0.2">
      <c r="A250" s="1">
        <v>46040</v>
      </c>
      <c r="B250" t="s">
        <v>11</v>
      </c>
      <c r="C250" s="2">
        <v>46040.125</v>
      </c>
      <c r="D250">
        <v>95143.44</v>
      </c>
      <c r="E250">
        <v>95529.16</v>
      </c>
      <c r="F250">
        <v>93591.22</v>
      </c>
      <c r="G250">
        <v>93752.57</v>
      </c>
      <c r="H250">
        <v>16.162050000000001</v>
      </c>
      <c r="I250" s="2">
        <v>46041.124999988424</v>
      </c>
      <c r="J250">
        <v>1534831.9530124001</v>
      </c>
      <c r="K250">
        <v>1248</v>
      </c>
    </row>
    <row r="251" spans="1:11" x14ac:dyDescent="0.2">
      <c r="A251" s="1">
        <v>46041</v>
      </c>
      <c r="B251" t="s">
        <v>11</v>
      </c>
      <c r="C251" s="2">
        <v>46041.125</v>
      </c>
      <c r="D251">
        <v>93675.57</v>
      </c>
      <c r="E251">
        <v>93675.57</v>
      </c>
      <c r="F251">
        <v>92000</v>
      </c>
      <c r="G251">
        <v>92628.77</v>
      </c>
      <c r="H251">
        <v>21.729209999999998</v>
      </c>
      <c r="I251" s="2">
        <v>46042.124999988424</v>
      </c>
      <c r="J251">
        <v>2017274.0588386001</v>
      </c>
      <c r="K251">
        <v>1695</v>
      </c>
    </row>
    <row r="252" spans="1:11" x14ac:dyDescent="0.2">
      <c r="A252" s="1">
        <v>46042</v>
      </c>
      <c r="B252" t="s">
        <v>11</v>
      </c>
      <c r="C252" s="2">
        <v>46042.125</v>
      </c>
      <c r="D252">
        <v>92628.77</v>
      </c>
      <c r="E252">
        <v>92862.51</v>
      </c>
      <c r="F252">
        <v>87952.88</v>
      </c>
      <c r="G252">
        <v>88416.88</v>
      </c>
      <c r="H252">
        <v>85.458439999999996</v>
      </c>
      <c r="I252" s="2">
        <v>46043.124999988424</v>
      </c>
      <c r="J252">
        <v>7744383.0163890002</v>
      </c>
      <c r="K252">
        <v>2517</v>
      </c>
    </row>
    <row r="253" spans="1:11" x14ac:dyDescent="0.2">
      <c r="A253" s="1">
        <v>46043</v>
      </c>
      <c r="B253" t="s">
        <v>11</v>
      </c>
      <c r="C253" s="2">
        <v>46043.125</v>
      </c>
      <c r="D253">
        <v>88431.3</v>
      </c>
      <c r="E253">
        <v>90525.35</v>
      </c>
      <c r="F253">
        <v>87270.38</v>
      </c>
      <c r="G253">
        <v>89615.97</v>
      </c>
      <c r="H253">
        <v>84.560699999999997</v>
      </c>
      <c r="I253" s="2">
        <v>46044.124999988424</v>
      </c>
      <c r="J253">
        <v>7537118.8595358999</v>
      </c>
      <c r="K253">
        <v>2443</v>
      </c>
    </row>
    <row r="254" spans="1:11" x14ac:dyDescent="0.2">
      <c r="A254" s="1">
        <v>46044</v>
      </c>
      <c r="B254" t="s">
        <v>11</v>
      </c>
      <c r="C254" s="2">
        <v>46044.125</v>
      </c>
      <c r="D254">
        <v>89611.29</v>
      </c>
      <c r="E254">
        <v>90412.12</v>
      </c>
      <c r="F254">
        <v>88537.08</v>
      </c>
      <c r="G254">
        <v>89579.27</v>
      </c>
      <c r="H254">
        <v>8.8823699999999999</v>
      </c>
      <c r="I254" s="2">
        <v>46045.124999988424</v>
      </c>
      <c r="J254">
        <v>794865.53723779996</v>
      </c>
      <c r="K254">
        <v>1090</v>
      </c>
    </row>
    <row r="255" spans="1:11" x14ac:dyDescent="0.2">
      <c r="A255" s="1">
        <v>46045</v>
      </c>
      <c r="B255" t="s">
        <v>11</v>
      </c>
      <c r="C255" s="2">
        <v>46045.125</v>
      </c>
      <c r="D255">
        <v>89580.02</v>
      </c>
      <c r="E255">
        <v>91237.15</v>
      </c>
      <c r="F255">
        <v>88603.57</v>
      </c>
      <c r="G255">
        <v>89626.83</v>
      </c>
      <c r="H255">
        <v>25.544460000000001</v>
      </c>
      <c r="I255" s="2">
        <v>46046.124999988424</v>
      </c>
      <c r="J255">
        <v>2291715.3460559002</v>
      </c>
      <c r="K255">
        <v>1506</v>
      </c>
    </row>
    <row r="256" spans="1:11" x14ac:dyDescent="0.2">
      <c r="A256" s="1">
        <v>46046</v>
      </c>
      <c r="B256" t="s">
        <v>11</v>
      </c>
      <c r="C256" s="2">
        <v>46046.125</v>
      </c>
      <c r="D256">
        <v>89589.59</v>
      </c>
      <c r="E256">
        <v>89932.85</v>
      </c>
      <c r="F256">
        <v>89176</v>
      </c>
      <c r="G256">
        <v>89272.04</v>
      </c>
      <c r="H256">
        <v>6.6308299999999996</v>
      </c>
      <c r="I256" s="2">
        <v>46047.124999988424</v>
      </c>
      <c r="J256">
        <v>593857.23521009996</v>
      </c>
      <c r="K256">
        <v>805</v>
      </c>
    </row>
    <row r="257" spans="1:11" x14ac:dyDescent="0.2">
      <c r="A257" s="1">
        <v>46047</v>
      </c>
      <c r="B257" t="s">
        <v>11</v>
      </c>
      <c r="C257" s="2">
        <v>46047.125</v>
      </c>
      <c r="D257">
        <v>89248.83</v>
      </c>
      <c r="E257">
        <v>89334.27</v>
      </c>
      <c r="F257">
        <v>86094.07</v>
      </c>
      <c r="G257">
        <v>86649.27</v>
      </c>
      <c r="H257">
        <v>28.895669999999999</v>
      </c>
      <c r="I257" s="2">
        <v>46048.124999988424</v>
      </c>
      <c r="J257">
        <v>2525773.7920272001</v>
      </c>
      <c r="K257">
        <v>1859</v>
      </c>
    </row>
    <row r="258" spans="1:11" x14ac:dyDescent="0.2">
      <c r="A258" s="1">
        <v>46048</v>
      </c>
      <c r="B258" t="s">
        <v>11</v>
      </c>
      <c r="C258" s="2">
        <v>46048.125</v>
      </c>
      <c r="D258">
        <v>86656.43</v>
      </c>
      <c r="E258">
        <v>88883.79</v>
      </c>
      <c r="F258">
        <v>86526.88</v>
      </c>
      <c r="G258">
        <v>88357.77</v>
      </c>
      <c r="H258">
        <v>30.903410000000001</v>
      </c>
      <c r="I258" s="2">
        <v>46049.124999988424</v>
      </c>
      <c r="J258">
        <v>2713901.2073495002</v>
      </c>
      <c r="K258">
        <v>1764</v>
      </c>
    </row>
    <row r="259" spans="1:11" x14ac:dyDescent="0.2">
      <c r="A259" s="1">
        <v>46049</v>
      </c>
      <c r="B259" t="s">
        <v>11</v>
      </c>
      <c r="C259" s="2">
        <v>46049.125</v>
      </c>
      <c r="D259">
        <v>88368.81</v>
      </c>
      <c r="E259">
        <v>89535.66</v>
      </c>
      <c r="F259">
        <v>87320.26</v>
      </c>
      <c r="G259">
        <v>89260.5</v>
      </c>
      <c r="H259">
        <v>18.237580000000001</v>
      </c>
      <c r="I259" s="2">
        <v>46050.124999988424</v>
      </c>
      <c r="J259">
        <v>1614264.9127378999</v>
      </c>
      <c r="K259">
        <v>1360</v>
      </c>
    </row>
    <row r="260" spans="1:11" x14ac:dyDescent="0.2">
      <c r="A260" s="1">
        <v>46050</v>
      </c>
      <c r="B260" t="s">
        <v>11</v>
      </c>
      <c r="C260" s="2">
        <v>46050.125</v>
      </c>
      <c r="D260">
        <v>89226.8</v>
      </c>
      <c r="E260">
        <v>90561.14</v>
      </c>
      <c r="F260">
        <v>88860.19</v>
      </c>
      <c r="G260">
        <v>89249.46</v>
      </c>
      <c r="H260">
        <v>26.620840000000001</v>
      </c>
      <c r="I260" s="2">
        <v>46051.124999988424</v>
      </c>
      <c r="J260">
        <v>2386707.0708023999</v>
      </c>
      <c r="K260">
        <v>1849</v>
      </c>
    </row>
    <row r="261" spans="1:11" x14ac:dyDescent="0.2">
      <c r="A261" s="1">
        <v>46051</v>
      </c>
      <c r="B261" t="s">
        <v>11</v>
      </c>
      <c r="C261" s="2">
        <v>46051.125</v>
      </c>
      <c r="D261">
        <v>89283.05</v>
      </c>
      <c r="E261">
        <v>89285.78</v>
      </c>
      <c r="F261">
        <v>83386.100000000006</v>
      </c>
      <c r="G261">
        <v>84684.39</v>
      </c>
      <c r="H261">
        <v>52.537469999999999</v>
      </c>
      <c r="I261" s="2">
        <v>46052.124999988424</v>
      </c>
      <c r="J261">
        <v>4505200.2302948004</v>
      </c>
      <c r="K261">
        <v>2606</v>
      </c>
    </row>
    <row r="262" spans="1:11" x14ac:dyDescent="0.2">
      <c r="A262" s="1">
        <v>46052</v>
      </c>
      <c r="B262" t="s">
        <v>11</v>
      </c>
      <c r="C262" s="2">
        <v>46052.125</v>
      </c>
      <c r="D262">
        <v>84719.4</v>
      </c>
      <c r="E262">
        <v>84737.88</v>
      </c>
      <c r="F262">
        <v>81143.63</v>
      </c>
      <c r="G262">
        <v>84240.31</v>
      </c>
      <c r="H262">
        <v>30.46529</v>
      </c>
      <c r="I262" s="2">
        <v>46053.124999988424</v>
      </c>
      <c r="J262">
        <v>2532851.31812</v>
      </c>
      <c r="K262">
        <v>2348</v>
      </c>
    </row>
    <row r="263" spans="1:11" x14ac:dyDescent="0.2">
      <c r="A263" s="1">
        <v>46053</v>
      </c>
      <c r="B263" t="s">
        <v>11</v>
      </c>
      <c r="C263" s="2">
        <v>46053.125</v>
      </c>
      <c r="D263">
        <v>84200</v>
      </c>
      <c r="E263">
        <v>84259.18</v>
      </c>
      <c r="F263">
        <v>75700.639999999999</v>
      </c>
      <c r="G263">
        <v>78805.8</v>
      </c>
      <c r="H263">
        <v>44.960540000000002</v>
      </c>
      <c r="I263" s="2">
        <v>46054.124999988424</v>
      </c>
      <c r="J263">
        <v>3587872.9639523998</v>
      </c>
      <c r="K263">
        <v>3026</v>
      </c>
    </row>
    <row r="264" spans="1:11" x14ac:dyDescent="0.2">
      <c r="A264" s="1">
        <v>46054</v>
      </c>
      <c r="B264" t="s">
        <v>11</v>
      </c>
      <c r="C264" s="2">
        <v>46054.125</v>
      </c>
      <c r="D264">
        <v>78757.929999999993</v>
      </c>
      <c r="E264">
        <v>79392</v>
      </c>
      <c r="F264">
        <v>75753.240000000005</v>
      </c>
      <c r="G264">
        <v>76934.399999999994</v>
      </c>
      <c r="H264">
        <v>43.273380000000003</v>
      </c>
      <c r="I264" s="2">
        <v>46055.124999988424</v>
      </c>
      <c r="J264">
        <v>3351512.3870863002</v>
      </c>
      <c r="K264">
        <v>2220</v>
      </c>
    </row>
    <row r="265" spans="1:11" x14ac:dyDescent="0.2">
      <c r="A265" s="1">
        <v>46055</v>
      </c>
      <c r="B265" t="s">
        <v>11</v>
      </c>
      <c r="C265" s="2">
        <v>46055.125</v>
      </c>
      <c r="D265">
        <v>77040.759999999995</v>
      </c>
      <c r="E265">
        <v>79358.240000000005</v>
      </c>
      <c r="F265">
        <v>74619.83</v>
      </c>
      <c r="G265">
        <v>78794.559999999998</v>
      </c>
      <c r="H265">
        <v>66.702849999999998</v>
      </c>
      <c r="I265" s="2">
        <v>46056.124999988424</v>
      </c>
      <c r="J265">
        <v>5169678.6457818002</v>
      </c>
      <c r="K265">
        <v>2955</v>
      </c>
    </row>
    <row r="266" spans="1:11" x14ac:dyDescent="0.2">
      <c r="A266" s="1">
        <v>46056</v>
      </c>
      <c r="B266" t="s">
        <v>11</v>
      </c>
      <c r="C266" s="2">
        <v>46056.125</v>
      </c>
      <c r="D266">
        <v>78684.710000000006</v>
      </c>
      <c r="E266">
        <v>79163.460000000006</v>
      </c>
      <c r="F266">
        <v>72979.63</v>
      </c>
      <c r="G266">
        <v>75751.88</v>
      </c>
      <c r="H266">
        <v>42.720440000000004</v>
      </c>
      <c r="I266" s="2">
        <v>46057.124999988424</v>
      </c>
      <c r="J266">
        <v>3240676.5165773998</v>
      </c>
      <c r="K266">
        <v>2965</v>
      </c>
    </row>
    <row r="267" spans="1:11" x14ac:dyDescent="0.2">
      <c r="A267" s="1">
        <v>46057</v>
      </c>
      <c r="B267" t="s">
        <v>11</v>
      </c>
      <c r="C267" s="2">
        <v>46057.125</v>
      </c>
      <c r="D267">
        <v>75640.66</v>
      </c>
      <c r="E267">
        <v>76952.649999999994</v>
      </c>
      <c r="F267">
        <v>71863.740000000005</v>
      </c>
      <c r="G267">
        <v>73160.679999999993</v>
      </c>
      <c r="H267">
        <v>54.387349999999998</v>
      </c>
      <c r="I267" s="2">
        <v>46058.124999988424</v>
      </c>
      <c r="J267">
        <v>4016355.4587131999</v>
      </c>
      <c r="K267">
        <v>2807</v>
      </c>
    </row>
    <row r="268" spans="1:11" x14ac:dyDescent="0.2">
      <c r="A268" s="1">
        <v>46058</v>
      </c>
      <c r="B268" t="s">
        <v>11</v>
      </c>
      <c r="C268" s="2">
        <v>46058.125</v>
      </c>
      <c r="D268">
        <v>73152.73</v>
      </c>
      <c r="E268">
        <v>73317.570000000007</v>
      </c>
      <c r="F268">
        <v>62345</v>
      </c>
      <c r="G268">
        <v>62754.09</v>
      </c>
      <c r="H268">
        <v>97.560730000000007</v>
      </c>
      <c r="I268" s="2">
        <v>46059.124999988424</v>
      </c>
      <c r="J268">
        <v>6564416.6082336996</v>
      </c>
      <c r="K268">
        <v>7460</v>
      </c>
    </row>
    <row r="269" spans="1:11" x14ac:dyDescent="0.2">
      <c r="A269" s="1">
        <v>46059</v>
      </c>
      <c r="B269" t="s">
        <v>11</v>
      </c>
      <c r="C269" s="2">
        <v>46059.125</v>
      </c>
      <c r="D269">
        <v>63049.1</v>
      </c>
      <c r="E269">
        <v>71679.58</v>
      </c>
      <c r="F269">
        <v>60075.49</v>
      </c>
      <c r="G269">
        <v>70588.22</v>
      </c>
      <c r="H269">
        <v>70.387860000000003</v>
      </c>
      <c r="I269" s="2">
        <v>46060.124999988424</v>
      </c>
      <c r="J269">
        <v>4701841.1486922996</v>
      </c>
      <c r="K269">
        <v>6275</v>
      </c>
    </row>
    <row r="270" spans="1:11" x14ac:dyDescent="0.2">
      <c r="A270" s="1">
        <v>46060</v>
      </c>
      <c r="B270" t="s">
        <v>11</v>
      </c>
      <c r="C270" s="2">
        <v>46060.125</v>
      </c>
      <c r="D270">
        <v>70581.27</v>
      </c>
      <c r="E270">
        <v>71904</v>
      </c>
      <c r="F270">
        <v>67382.95</v>
      </c>
      <c r="G270">
        <v>69310.38</v>
      </c>
      <c r="H270">
        <v>26.57461</v>
      </c>
      <c r="I270" s="2">
        <v>46061.124999988424</v>
      </c>
      <c r="J270">
        <v>1842636.7041704</v>
      </c>
      <c r="K270">
        <v>2738</v>
      </c>
    </row>
    <row r="271" spans="1:11" x14ac:dyDescent="0.2">
      <c r="A271" s="1">
        <v>46061</v>
      </c>
      <c r="B271" t="s">
        <v>11</v>
      </c>
      <c r="C271" s="2">
        <v>46061.125</v>
      </c>
      <c r="D271">
        <v>69313.990000000005</v>
      </c>
      <c r="E271">
        <v>72250.87</v>
      </c>
      <c r="F271">
        <v>68900</v>
      </c>
      <c r="G271">
        <v>70315.679999999993</v>
      </c>
      <c r="H271">
        <v>14.88128</v>
      </c>
      <c r="I271" s="2">
        <v>46062.124999988424</v>
      </c>
      <c r="J271">
        <v>1052219.1068809</v>
      </c>
      <c r="K271">
        <v>1710</v>
      </c>
    </row>
    <row r="272" spans="1:11" x14ac:dyDescent="0.2">
      <c r="A272" s="1">
        <v>46062</v>
      </c>
      <c r="B272" t="s">
        <v>11</v>
      </c>
      <c r="C272" s="2">
        <v>46062.125</v>
      </c>
      <c r="D272">
        <v>70394.02</v>
      </c>
      <c r="E272">
        <v>71468.47</v>
      </c>
      <c r="F272">
        <v>68327.960000000006</v>
      </c>
      <c r="G272">
        <v>70120.2</v>
      </c>
      <c r="H272">
        <v>13.82086</v>
      </c>
      <c r="I272" s="2">
        <v>46063.124999988424</v>
      </c>
      <c r="J272">
        <v>967967.06692929997</v>
      </c>
      <c r="K272">
        <v>1790</v>
      </c>
    </row>
    <row r="273" spans="1:11" x14ac:dyDescent="0.2">
      <c r="A273" s="1">
        <v>46063</v>
      </c>
      <c r="B273" t="s">
        <v>11</v>
      </c>
      <c r="C273" s="2">
        <v>46063.125</v>
      </c>
      <c r="D273">
        <v>70176.91</v>
      </c>
      <c r="E273">
        <v>70500.240000000005</v>
      </c>
      <c r="F273">
        <v>67932.62</v>
      </c>
      <c r="G273">
        <v>68837.86</v>
      </c>
      <c r="H273">
        <v>8.8441899999999993</v>
      </c>
      <c r="I273" s="2">
        <v>46064.124999988424</v>
      </c>
      <c r="J273">
        <v>612472.75745889999</v>
      </c>
      <c r="K273">
        <v>1819</v>
      </c>
    </row>
    <row r="274" spans="1:11" x14ac:dyDescent="0.2">
      <c r="A274" s="1">
        <v>46064</v>
      </c>
      <c r="B274" t="s">
        <v>11</v>
      </c>
      <c r="C274" s="2">
        <v>46064.125</v>
      </c>
      <c r="D274">
        <v>68853.63</v>
      </c>
      <c r="E274">
        <v>69292.100000000006</v>
      </c>
      <c r="F274">
        <v>65760.38</v>
      </c>
      <c r="G274">
        <v>67087.89</v>
      </c>
      <c r="H274">
        <v>20.268249999999998</v>
      </c>
      <c r="I274" s="2">
        <v>46065.124999988424</v>
      </c>
      <c r="J274">
        <v>1361476.8298235</v>
      </c>
      <c r="K274">
        <v>2775</v>
      </c>
    </row>
    <row r="275" spans="1:11" x14ac:dyDescent="0.2">
      <c r="A275" s="1">
        <v>46065</v>
      </c>
      <c r="B275" t="s">
        <v>11</v>
      </c>
      <c r="C275" s="2">
        <v>46065.125</v>
      </c>
      <c r="D275">
        <v>67060.2</v>
      </c>
      <c r="E275">
        <v>68405.77</v>
      </c>
      <c r="F275">
        <v>65134.18</v>
      </c>
      <c r="G275">
        <v>66252.28</v>
      </c>
      <c r="H275">
        <v>18.59806</v>
      </c>
      <c r="I275" s="2">
        <v>46066.124999988424</v>
      </c>
      <c r="J275">
        <v>1239542.1646771999</v>
      </c>
      <c r="K275">
        <v>3220</v>
      </c>
    </row>
    <row r="276" spans="1:11" x14ac:dyDescent="0.2">
      <c r="A276" s="1">
        <v>46066</v>
      </c>
      <c r="B276" t="s">
        <v>11</v>
      </c>
      <c r="C276" s="2">
        <v>46066.125</v>
      </c>
      <c r="D276">
        <v>66253.16</v>
      </c>
      <c r="E276">
        <v>69441.45</v>
      </c>
      <c r="F276">
        <v>65867.89</v>
      </c>
      <c r="G276">
        <v>68866.62</v>
      </c>
      <c r="H276">
        <v>19.868590000000001</v>
      </c>
      <c r="I276" s="2">
        <v>46067.124999988424</v>
      </c>
      <c r="J276">
        <v>1348799.9056120999</v>
      </c>
      <c r="K276">
        <v>2787</v>
      </c>
    </row>
    <row r="277" spans="1:11" x14ac:dyDescent="0.2">
      <c r="A277" s="1">
        <v>46067</v>
      </c>
      <c r="B277" t="s">
        <v>11</v>
      </c>
      <c r="C277" s="2">
        <v>46067.125</v>
      </c>
      <c r="D277">
        <v>68872.160000000003</v>
      </c>
      <c r="E277">
        <v>70543.95</v>
      </c>
      <c r="F277">
        <v>68755.06</v>
      </c>
      <c r="G277">
        <v>69840.399999999994</v>
      </c>
      <c r="H277">
        <v>13.34614</v>
      </c>
      <c r="I277" s="2">
        <v>46068.124999988424</v>
      </c>
      <c r="J277">
        <v>929429.53696669999</v>
      </c>
      <c r="K277">
        <v>1691</v>
      </c>
    </row>
    <row r="278" spans="1:11" x14ac:dyDescent="0.2">
      <c r="A278" s="1">
        <v>46068</v>
      </c>
      <c r="B278" t="s">
        <v>11</v>
      </c>
      <c r="C278" s="2">
        <v>46068.125</v>
      </c>
      <c r="D278">
        <v>69850.289999999994</v>
      </c>
      <c r="E278">
        <v>70968.62</v>
      </c>
      <c r="F278">
        <v>68074.559999999998</v>
      </c>
      <c r="G278">
        <v>68817.98</v>
      </c>
      <c r="H278">
        <v>13.99274</v>
      </c>
      <c r="I278" s="2">
        <v>46069.124999988424</v>
      </c>
      <c r="J278">
        <v>971432.74999539996</v>
      </c>
      <c r="K278">
        <v>1909</v>
      </c>
    </row>
    <row r="279" spans="1:11" x14ac:dyDescent="0.2">
      <c r="A279" s="1">
        <v>46069</v>
      </c>
      <c r="B279" t="s">
        <v>11</v>
      </c>
      <c r="C279" s="2">
        <v>46069.125</v>
      </c>
      <c r="D279">
        <v>68779.350000000006</v>
      </c>
      <c r="E279">
        <v>70061.789999999994</v>
      </c>
      <c r="F279">
        <v>67338.320000000007</v>
      </c>
      <c r="G279">
        <v>68833.27</v>
      </c>
      <c r="H279">
        <v>5.3726399999999996</v>
      </c>
      <c r="I279" s="2">
        <v>46070.124999988424</v>
      </c>
      <c r="J279">
        <v>367824.16619979998</v>
      </c>
      <c r="K279">
        <v>1508</v>
      </c>
    </row>
    <row r="280" spans="1:11" x14ac:dyDescent="0.2">
      <c r="A280" s="1">
        <v>46070</v>
      </c>
      <c r="B280" t="s">
        <v>11</v>
      </c>
      <c r="C280" s="2">
        <v>46070.125</v>
      </c>
      <c r="D280">
        <v>68861.259999999995</v>
      </c>
      <c r="E280">
        <v>69207.839999999997</v>
      </c>
      <c r="F280">
        <v>66600</v>
      </c>
      <c r="G280">
        <v>67498.2</v>
      </c>
      <c r="H280">
        <v>7.9756799999999997</v>
      </c>
      <c r="I280" s="2">
        <v>46071.124999988424</v>
      </c>
      <c r="J280">
        <v>540199.20876199997</v>
      </c>
      <c r="K280">
        <v>1818</v>
      </c>
    </row>
    <row r="281" spans="1:11" x14ac:dyDescent="0.2">
      <c r="A281" s="1">
        <v>46071</v>
      </c>
      <c r="B281" t="s">
        <v>11</v>
      </c>
      <c r="C281" s="2">
        <v>46071.125</v>
      </c>
      <c r="D281">
        <v>67506.5</v>
      </c>
      <c r="E281">
        <v>68446.92</v>
      </c>
      <c r="F281">
        <v>65863.27</v>
      </c>
      <c r="G281">
        <v>66445.59</v>
      </c>
      <c r="H281">
        <v>41.06279</v>
      </c>
      <c r="I281" s="2">
        <v>46072.124999988424</v>
      </c>
      <c r="J281">
        <v>2737803.9935963</v>
      </c>
      <c r="K281">
        <v>2474</v>
      </c>
    </row>
    <row r="282" spans="1:11" x14ac:dyDescent="0.2">
      <c r="A282" s="1">
        <v>46072</v>
      </c>
      <c r="B282" t="s">
        <v>11</v>
      </c>
      <c r="C282" s="2">
        <v>46072.125</v>
      </c>
      <c r="D282">
        <v>66461.31</v>
      </c>
      <c r="E282">
        <v>67300</v>
      </c>
      <c r="F282">
        <v>65649.990000000005</v>
      </c>
      <c r="G282">
        <v>66970.73</v>
      </c>
      <c r="H282">
        <v>27.729109999999999</v>
      </c>
      <c r="I282" s="2">
        <v>46073.124999988424</v>
      </c>
      <c r="J282">
        <v>1843623.8936918001</v>
      </c>
      <c r="K282">
        <v>1577</v>
      </c>
    </row>
    <row r="283" spans="1:11" x14ac:dyDescent="0.2">
      <c r="A283" s="1">
        <v>46073</v>
      </c>
      <c r="B283" t="s">
        <v>11</v>
      </c>
      <c r="C283" s="2">
        <v>46073.125</v>
      </c>
      <c r="D283">
        <v>66948.19</v>
      </c>
      <c r="E283">
        <v>68300</v>
      </c>
      <c r="F283">
        <v>66483.69</v>
      </c>
      <c r="G283">
        <v>68022.850000000006</v>
      </c>
      <c r="H283">
        <v>32.405900000000003</v>
      </c>
      <c r="I283" s="2">
        <v>46074.124999988424</v>
      </c>
      <c r="J283">
        <v>2185958.4309899001</v>
      </c>
      <c r="K283">
        <v>2404</v>
      </c>
    </row>
    <row r="284" spans="1:11" x14ac:dyDescent="0.2">
      <c r="A284" s="1">
        <v>46074</v>
      </c>
      <c r="B284" t="s">
        <v>11</v>
      </c>
      <c r="C284" s="2">
        <v>46074.125</v>
      </c>
      <c r="D284">
        <v>68026.06</v>
      </c>
      <c r="E284">
        <v>68696.22</v>
      </c>
      <c r="F284">
        <v>67519.63</v>
      </c>
      <c r="G284">
        <v>68023.17</v>
      </c>
      <c r="H284">
        <v>18.515799999999999</v>
      </c>
      <c r="I284" s="2">
        <v>46075.124999988424</v>
      </c>
      <c r="J284">
        <v>1262125.9764004</v>
      </c>
      <c r="K284">
        <v>1181</v>
      </c>
    </row>
    <row r="285" spans="1:11" x14ac:dyDescent="0.2">
      <c r="A285" s="1">
        <v>46075</v>
      </c>
      <c r="B285" t="s">
        <v>11</v>
      </c>
      <c r="C285" s="2">
        <v>46075.125</v>
      </c>
      <c r="D285">
        <v>67984.38</v>
      </c>
      <c r="E285">
        <v>68290.47</v>
      </c>
      <c r="F285">
        <v>67190.100000000006</v>
      </c>
      <c r="G285">
        <v>67637.42</v>
      </c>
      <c r="H285">
        <v>14.294079999999999</v>
      </c>
      <c r="I285" s="2">
        <v>46076.124999988424</v>
      </c>
      <c r="J285">
        <v>967831.45434990001</v>
      </c>
      <c r="K285">
        <v>1165</v>
      </c>
    </row>
    <row r="286" spans="1:11" x14ac:dyDescent="0.2">
      <c r="A286" s="1">
        <v>46076</v>
      </c>
      <c r="B286" t="s">
        <v>11</v>
      </c>
      <c r="C286" s="2">
        <v>46076.125</v>
      </c>
      <c r="D286">
        <v>67669.83</v>
      </c>
      <c r="E286">
        <v>67678.509999999995</v>
      </c>
      <c r="F286">
        <v>63909.62</v>
      </c>
      <c r="G286">
        <v>64665.99</v>
      </c>
      <c r="H286">
        <v>46.419310000000003</v>
      </c>
      <c r="I286" s="2">
        <v>46077.124999988424</v>
      </c>
      <c r="J286">
        <v>3030874.8767705001</v>
      </c>
      <c r="K286">
        <v>2691</v>
      </c>
    </row>
    <row r="287" spans="1:11" x14ac:dyDescent="0.2">
      <c r="A287" s="1">
        <v>46077</v>
      </c>
      <c r="B287" t="s">
        <v>11</v>
      </c>
      <c r="C287" s="2">
        <v>46077.125</v>
      </c>
      <c r="D287">
        <v>64643.74</v>
      </c>
      <c r="E287">
        <v>64990.559999999998</v>
      </c>
      <c r="F287">
        <v>62550.79</v>
      </c>
      <c r="G287">
        <v>64024.6</v>
      </c>
      <c r="H287">
        <v>49.92398</v>
      </c>
      <c r="I287" s="2">
        <v>46078.124999988424</v>
      </c>
      <c r="J287">
        <v>3175082.9971698001</v>
      </c>
      <c r="K287">
        <v>2869</v>
      </c>
    </row>
    <row r="288" spans="1:11" x14ac:dyDescent="0.2">
      <c r="A288" s="1">
        <v>46078</v>
      </c>
      <c r="B288" t="s">
        <v>11</v>
      </c>
      <c r="C288" s="2">
        <v>46078.125</v>
      </c>
      <c r="D288">
        <v>64072.62</v>
      </c>
      <c r="E288">
        <v>70100</v>
      </c>
      <c r="F288">
        <v>63910.91</v>
      </c>
      <c r="G288">
        <v>67957.929999999993</v>
      </c>
      <c r="H288">
        <v>76.504400000000004</v>
      </c>
      <c r="I288" s="2">
        <v>46079.124999988424</v>
      </c>
      <c r="J288">
        <v>5143096.1750450004</v>
      </c>
      <c r="K288">
        <v>4208</v>
      </c>
    </row>
    <row r="289" spans="1:11" x14ac:dyDescent="0.2">
      <c r="A289" s="1">
        <v>46079</v>
      </c>
      <c r="B289" t="s">
        <v>11</v>
      </c>
      <c r="C289" s="2">
        <v>46079.125</v>
      </c>
      <c r="D289">
        <v>67991.86</v>
      </c>
      <c r="E289">
        <v>68859.67</v>
      </c>
      <c r="F289">
        <v>66535.11</v>
      </c>
      <c r="G289">
        <v>67481.399999999994</v>
      </c>
      <c r="H289">
        <v>58.424120000000002</v>
      </c>
      <c r="I289" s="2">
        <v>46080.124999988424</v>
      </c>
      <c r="J289">
        <v>3959762.9911469999</v>
      </c>
      <c r="K289">
        <v>3393</v>
      </c>
    </row>
    <row r="290" spans="1:11" x14ac:dyDescent="0.2">
      <c r="A290" s="1">
        <v>46080</v>
      </c>
      <c r="B290" t="s">
        <v>11</v>
      </c>
      <c r="C290" s="2">
        <v>46080.125</v>
      </c>
      <c r="D290">
        <v>67468.08</v>
      </c>
      <c r="E290">
        <v>68206.36</v>
      </c>
      <c r="F290">
        <v>64979.519999999997</v>
      </c>
      <c r="G290">
        <v>65882.98</v>
      </c>
      <c r="H290">
        <v>55.472949999999997</v>
      </c>
      <c r="I290" s="2">
        <v>46081.124999988424</v>
      </c>
      <c r="J290">
        <v>3666651.0544870002</v>
      </c>
      <c r="K290">
        <v>2565</v>
      </c>
    </row>
    <row r="291" spans="1:11" x14ac:dyDescent="0.2">
      <c r="A291" s="1">
        <v>46081</v>
      </c>
      <c r="B291" t="s">
        <v>11</v>
      </c>
      <c r="C291" s="2">
        <v>46081.125</v>
      </c>
      <c r="D291">
        <v>65848.73</v>
      </c>
      <c r="E291">
        <v>67729.87</v>
      </c>
      <c r="F291">
        <v>63047.83</v>
      </c>
      <c r="G291">
        <v>66954.13</v>
      </c>
      <c r="H291">
        <v>71.575100000000006</v>
      </c>
      <c r="I291" s="2">
        <v>46082.124999988424</v>
      </c>
      <c r="J291">
        <v>4673919.8413404003</v>
      </c>
      <c r="K291">
        <v>3199</v>
      </c>
    </row>
    <row r="292" spans="1:11" x14ac:dyDescent="0.2">
      <c r="A292" s="1">
        <v>46082</v>
      </c>
      <c r="B292" t="s">
        <v>11</v>
      </c>
      <c r="C292" s="2">
        <v>46082.125</v>
      </c>
      <c r="D292">
        <v>66990.399999999994</v>
      </c>
      <c r="E292">
        <v>68200</v>
      </c>
      <c r="F292">
        <v>65050.37</v>
      </c>
      <c r="G292">
        <v>65721.17</v>
      </c>
      <c r="H292">
        <v>64.271270000000001</v>
      </c>
      <c r="I292" s="2">
        <v>46083.124999988424</v>
      </c>
      <c r="J292">
        <v>4282017.4054132001</v>
      </c>
      <c r="K292">
        <v>3947</v>
      </c>
    </row>
    <row r="293" spans="1:11" x14ac:dyDescent="0.2">
      <c r="A293" s="1">
        <v>46083</v>
      </c>
      <c r="B293" t="s">
        <v>11</v>
      </c>
      <c r="C293" s="2">
        <v>46083.125</v>
      </c>
      <c r="D293">
        <v>65792.28</v>
      </c>
      <c r="E293">
        <v>70100</v>
      </c>
      <c r="F293">
        <v>65280.480000000003</v>
      </c>
      <c r="G293">
        <v>68811.429999999993</v>
      </c>
      <c r="H293">
        <v>59.08408</v>
      </c>
      <c r="I293" s="2">
        <v>46084.124999988424</v>
      </c>
      <c r="J293">
        <v>3994909.8405486001</v>
      </c>
      <c r="K293">
        <v>3281</v>
      </c>
    </row>
    <row r="294" spans="1:11" x14ac:dyDescent="0.2">
      <c r="A294" s="1">
        <v>46084</v>
      </c>
      <c r="B294" t="s">
        <v>11</v>
      </c>
      <c r="C294" s="2">
        <v>46084.125</v>
      </c>
      <c r="D294">
        <v>68881.13</v>
      </c>
      <c r="E294">
        <v>69247.839999999997</v>
      </c>
      <c r="F294">
        <v>66171.199999999997</v>
      </c>
      <c r="G294">
        <v>68263.23</v>
      </c>
      <c r="H294">
        <v>82.719530000000006</v>
      </c>
      <c r="I294" s="2">
        <v>46085.124999988424</v>
      </c>
      <c r="J294">
        <v>5593908.6216008998</v>
      </c>
      <c r="K294">
        <v>3427</v>
      </c>
    </row>
    <row r="295" spans="1:11" x14ac:dyDescent="0.2">
      <c r="A295" s="1">
        <v>46085</v>
      </c>
      <c r="B295" t="s">
        <v>11</v>
      </c>
      <c r="C295" s="2">
        <v>46085.125</v>
      </c>
      <c r="D295">
        <v>68244.81</v>
      </c>
      <c r="E295">
        <v>74038.22</v>
      </c>
      <c r="F295">
        <v>67416.72</v>
      </c>
      <c r="G295">
        <v>72747.38</v>
      </c>
      <c r="H295">
        <v>98.373180000000005</v>
      </c>
      <c r="I295" s="2">
        <v>46086.124999988424</v>
      </c>
      <c r="J295">
        <v>7030528.5763985002</v>
      </c>
      <c r="K295">
        <v>4505</v>
      </c>
    </row>
    <row r="296" spans="1:11" x14ac:dyDescent="0.2">
      <c r="A296" s="1">
        <v>46086</v>
      </c>
      <c r="B296" t="s">
        <v>11</v>
      </c>
      <c r="C296" s="2">
        <v>46086.125</v>
      </c>
      <c r="D296">
        <v>72701.61</v>
      </c>
      <c r="E296">
        <v>73565</v>
      </c>
      <c r="F296">
        <v>70644.77</v>
      </c>
      <c r="G296">
        <v>70858.600000000006</v>
      </c>
      <c r="H296">
        <v>47.54871</v>
      </c>
      <c r="I296" s="2">
        <v>46087.124999988424</v>
      </c>
      <c r="J296">
        <v>3428979.3933847002</v>
      </c>
      <c r="K296">
        <v>2897</v>
      </c>
    </row>
    <row r="297" spans="1:11" x14ac:dyDescent="0.2">
      <c r="A297" s="1">
        <v>46087</v>
      </c>
      <c r="B297" t="s">
        <v>11</v>
      </c>
      <c r="C297" s="2">
        <v>46087.125</v>
      </c>
      <c r="D297">
        <v>70894.73</v>
      </c>
      <c r="E297">
        <v>71397.25</v>
      </c>
      <c r="F297">
        <v>67763</v>
      </c>
      <c r="G297">
        <v>68118.25</v>
      </c>
      <c r="H297">
        <v>56.620069999999998</v>
      </c>
      <c r="I297" s="2">
        <v>46088.124999988424</v>
      </c>
      <c r="J297">
        <v>3895127.9064210001</v>
      </c>
      <c r="K297">
        <v>2311</v>
      </c>
    </row>
    <row r="298" spans="1:11" x14ac:dyDescent="0.2">
      <c r="A298" s="1">
        <v>46088</v>
      </c>
      <c r="B298" t="s">
        <v>11</v>
      </c>
      <c r="C298" s="2">
        <v>46088.125</v>
      </c>
      <c r="D298">
        <v>68127.77</v>
      </c>
      <c r="E298">
        <v>68550.69</v>
      </c>
      <c r="F298">
        <v>66933.55</v>
      </c>
      <c r="G298">
        <v>67264.19</v>
      </c>
      <c r="H298">
        <v>14.527010000000001</v>
      </c>
      <c r="I298" s="2">
        <v>46089.124999988424</v>
      </c>
      <c r="J298">
        <v>985788.85016529995</v>
      </c>
      <c r="K298">
        <v>1271</v>
      </c>
    </row>
    <row r="299" spans="1:11" x14ac:dyDescent="0.2">
      <c r="A299" s="1">
        <v>46089</v>
      </c>
      <c r="B299" t="s">
        <v>11</v>
      </c>
      <c r="C299" s="2">
        <v>46089.125</v>
      </c>
      <c r="D299">
        <v>67289.13</v>
      </c>
      <c r="E299">
        <v>68189.23</v>
      </c>
      <c r="F299">
        <v>65627.02</v>
      </c>
      <c r="G299">
        <v>66007.38</v>
      </c>
      <c r="H299">
        <v>20.099170000000001</v>
      </c>
      <c r="I299" s="2">
        <v>46090.124999988424</v>
      </c>
      <c r="J299">
        <v>1347862.5257893</v>
      </c>
      <c r="K299">
        <v>1754</v>
      </c>
    </row>
    <row r="300" spans="1:11" x14ac:dyDescent="0.2">
      <c r="A300" s="1">
        <v>46090</v>
      </c>
      <c r="B300" t="s">
        <v>11</v>
      </c>
      <c r="C300" s="2">
        <v>46090.125</v>
      </c>
      <c r="D300">
        <v>65992.98</v>
      </c>
      <c r="E300">
        <v>69519.89</v>
      </c>
      <c r="F300">
        <v>65889.08</v>
      </c>
      <c r="G300">
        <v>68374.92</v>
      </c>
      <c r="H300">
        <v>24.43393</v>
      </c>
      <c r="I300" s="2">
        <v>46091.124999988424</v>
      </c>
      <c r="J300">
        <v>1659893.7282984999</v>
      </c>
      <c r="K300">
        <v>2385</v>
      </c>
    </row>
    <row r="301" spans="1:11" x14ac:dyDescent="0.2">
      <c r="A301" s="1">
        <v>46091</v>
      </c>
      <c r="B301" t="s">
        <v>11</v>
      </c>
      <c r="C301" s="2">
        <v>46091.125</v>
      </c>
      <c r="D301">
        <v>68404.53</v>
      </c>
      <c r="E301">
        <v>71774.179999999993</v>
      </c>
      <c r="F301">
        <v>68404.53</v>
      </c>
      <c r="G301">
        <v>69937.149999999994</v>
      </c>
      <c r="H301">
        <v>45.546320000000001</v>
      </c>
      <c r="I301" s="2">
        <v>46092.124999988424</v>
      </c>
      <c r="J301">
        <v>3206150.4880718002</v>
      </c>
      <c r="K301">
        <v>3394</v>
      </c>
    </row>
    <row r="302" spans="1:11" x14ac:dyDescent="0.2">
      <c r="A302" s="1">
        <v>46092</v>
      </c>
      <c r="B302" t="s">
        <v>11</v>
      </c>
      <c r="C302" s="2">
        <v>46092.125</v>
      </c>
      <c r="D302">
        <v>69900.7</v>
      </c>
      <c r="E302">
        <v>71294.05</v>
      </c>
      <c r="F302">
        <v>68976.27</v>
      </c>
      <c r="G302">
        <v>70192.649999999994</v>
      </c>
      <c r="H302">
        <v>15.651149999999999</v>
      </c>
      <c r="I302" s="2">
        <v>46093.124999988424</v>
      </c>
      <c r="J302">
        <v>1099386.3778323</v>
      </c>
      <c r="K302">
        <v>3268</v>
      </c>
    </row>
    <row r="303" spans="1:11" x14ac:dyDescent="0.2">
      <c r="A303" s="1">
        <v>46093</v>
      </c>
      <c r="B303" t="s">
        <v>11</v>
      </c>
      <c r="C303" s="2">
        <v>46093.125</v>
      </c>
      <c r="D303">
        <v>70207.97</v>
      </c>
      <c r="E303">
        <v>70773.27</v>
      </c>
      <c r="F303">
        <v>69222.5</v>
      </c>
      <c r="G303">
        <v>70489.42</v>
      </c>
      <c r="H303">
        <v>8.5862099999999995</v>
      </c>
      <c r="I303" s="2">
        <v>46094.124999988424</v>
      </c>
      <c r="J303">
        <v>602349.09662049997</v>
      </c>
      <c r="K303">
        <v>1412</v>
      </c>
    </row>
    <row r="304" spans="1:11" x14ac:dyDescent="0.2">
      <c r="A304" s="1">
        <v>46094</v>
      </c>
      <c r="B304" t="s">
        <v>11</v>
      </c>
      <c r="C304" s="2">
        <v>46094.125</v>
      </c>
      <c r="D304">
        <v>70457.740000000005</v>
      </c>
      <c r="E304">
        <v>73895.520000000004</v>
      </c>
      <c r="F304">
        <v>70434.09</v>
      </c>
      <c r="G304">
        <v>70968.63</v>
      </c>
      <c r="H304">
        <v>42.716549999999998</v>
      </c>
      <c r="I304" s="2">
        <v>46095.124999988424</v>
      </c>
      <c r="J304">
        <v>3080853.2433369998</v>
      </c>
      <c r="K304">
        <v>3215</v>
      </c>
    </row>
    <row r="305" spans="1:11" x14ac:dyDescent="0.2">
      <c r="A305" s="1">
        <v>46095</v>
      </c>
      <c r="B305" t="s">
        <v>11</v>
      </c>
      <c r="C305" s="2">
        <v>46095.125</v>
      </c>
      <c r="D305">
        <v>70877.84</v>
      </c>
      <c r="E305">
        <v>71296.800000000003</v>
      </c>
      <c r="F305">
        <v>70355</v>
      </c>
      <c r="G305">
        <v>71211.28</v>
      </c>
      <c r="H305">
        <v>2.8666800000000001</v>
      </c>
      <c r="I305" s="2">
        <v>46096.124999988424</v>
      </c>
      <c r="J305">
        <v>202968.5279406</v>
      </c>
      <c r="K305">
        <v>978</v>
      </c>
    </row>
    <row r="306" spans="1:11" x14ac:dyDescent="0.2">
      <c r="A306" s="1">
        <v>46096</v>
      </c>
      <c r="B306" t="s">
        <v>11</v>
      </c>
      <c r="C306" s="2">
        <v>46096.125</v>
      </c>
      <c r="D306">
        <v>71188.820000000007</v>
      </c>
      <c r="E306">
        <v>73181.72</v>
      </c>
      <c r="F306">
        <v>70893.990000000005</v>
      </c>
      <c r="G306">
        <v>72741.88</v>
      </c>
      <c r="H306">
        <v>11.42427</v>
      </c>
      <c r="I306" s="2">
        <v>46097.124999988424</v>
      </c>
      <c r="J306">
        <v>821568.46668259997</v>
      </c>
      <c r="K306">
        <v>1705</v>
      </c>
    </row>
    <row r="307" spans="1:11" x14ac:dyDescent="0.2">
      <c r="A307" s="1">
        <v>46097</v>
      </c>
      <c r="B307" t="s">
        <v>11</v>
      </c>
      <c r="C307" s="2">
        <v>46097.125</v>
      </c>
      <c r="D307">
        <v>72879.100000000006</v>
      </c>
      <c r="E307">
        <v>74900</v>
      </c>
      <c r="F307">
        <v>72307.490000000005</v>
      </c>
      <c r="G307">
        <v>74879.98</v>
      </c>
      <c r="H307">
        <v>18.900120000000001</v>
      </c>
      <c r="I307" s="2">
        <v>46098.124999988424</v>
      </c>
      <c r="J307">
        <v>1395208.7123551001</v>
      </c>
      <c r="K307">
        <v>2320</v>
      </c>
    </row>
    <row r="308" spans="1:11" x14ac:dyDescent="0.2">
      <c r="A308" s="1">
        <v>46098</v>
      </c>
      <c r="B308" t="s">
        <v>11</v>
      </c>
      <c r="C308" s="2">
        <v>46098.125</v>
      </c>
      <c r="D308">
        <v>74821.7</v>
      </c>
      <c r="E308">
        <v>76100</v>
      </c>
      <c r="F308">
        <v>73555</v>
      </c>
      <c r="G308">
        <v>73908.83</v>
      </c>
      <c r="H308">
        <v>85.268230000000003</v>
      </c>
      <c r="I308" s="2">
        <v>46099.124999988424</v>
      </c>
      <c r="J308">
        <v>6368872.4880732996</v>
      </c>
      <c r="K308">
        <v>6408</v>
      </c>
    </row>
    <row r="309" spans="1:11" x14ac:dyDescent="0.2">
      <c r="A309" s="1">
        <v>46099</v>
      </c>
      <c r="B309" t="s">
        <v>11</v>
      </c>
      <c r="C309" s="2">
        <v>46099.125</v>
      </c>
      <c r="D309">
        <v>73928.58</v>
      </c>
      <c r="E309">
        <v>74609.55</v>
      </c>
      <c r="F309">
        <v>70500.009999999995</v>
      </c>
      <c r="G309">
        <v>71256.100000000006</v>
      </c>
      <c r="H309">
        <v>62.52122</v>
      </c>
      <c r="I309" s="2">
        <v>46100.124999988424</v>
      </c>
      <c r="J309">
        <v>4554727.8246819004</v>
      </c>
      <c r="K309">
        <v>2702</v>
      </c>
    </row>
    <row r="310" spans="1:11" x14ac:dyDescent="0.2">
      <c r="A310" s="1">
        <v>46100</v>
      </c>
      <c r="B310" t="s">
        <v>11</v>
      </c>
      <c r="C310" s="2">
        <v>46100.125</v>
      </c>
      <c r="D310">
        <v>71206.97</v>
      </c>
      <c r="E310">
        <v>71621.509999999995</v>
      </c>
      <c r="F310">
        <v>68791.95</v>
      </c>
      <c r="G310">
        <v>69977.88</v>
      </c>
      <c r="H310">
        <v>26.911059999999999</v>
      </c>
      <c r="I310" s="2">
        <v>46101.124999988424</v>
      </c>
      <c r="J310">
        <v>1891646.4539675999</v>
      </c>
      <c r="K310">
        <v>1979</v>
      </c>
    </row>
    <row r="311" spans="1:11" x14ac:dyDescent="0.2">
      <c r="A311" s="1">
        <v>46101</v>
      </c>
      <c r="B311" t="s">
        <v>11</v>
      </c>
      <c r="C311" s="2">
        <v>46101.125</v>
      </c>
      <c r="D311">
        <v>69934.16</v>
      </c>
      <c r="E311">
        <v>71347.199999999997</v>
      </c>
      <c r="F311">
        <v>69408.429999999993</v>
      </c>
      <c r="G311">
        <v>70494.62</v>
      </c>
      <c r="H311">
        <v>14.39622</v>
      </c>
      <c r="I311" s="2">
        <v>46102.124999988424</v>
      </c>
      <c r="J311">
        <v>1014033.3850356</v>
      </c>
      <c r="K311">
        <v>1568</v>
      </c>
    </row>
    <row r="312" spans="1:11" x14ac:dyDescent="0.2">
      <c r="A312" s="1">
        <v>46102</v>
      </c>
      <c r="B312" t="s">
        <v>11</v>
      </c>
      <c r="C312" s="2">
        <v>46102.125</v>
      </c>
      <c r="D312">
        <v>70549.42</v>
      </c>
      <c r="E312">
        <v>71086.48</v>
      </c>
      <c r="F312">
        <v>68571.95</v>
      </c>
      <c r="G312">
        <v>68747.47</v>
      </c>
      <c r="H312">
        <v>6.6650799999999997</v>
      </c>
      <c r="I312" s="2">
        <v>46103.124999988424</v>
      </c>
      <c r="J312">
        <v>469130.60270539997</v>
      </c>
      <c r="K312">
        <v>1065</v>
      </c>
    </row>
    <row r="313" spans="1:11" x14ac:dyDescent="0.2">
      <c r="A313" s="1">
        <v>46103</v>
      </c>
      <c r="B313" t="s">
        <v>11</v>
      </c>
      <c r="C313" s="2">
        <v>46103.125</v>
      </c>
      <c r="D313">
        <v>68803.759999999995</v>
      </c>
      <c r="E313">
        <v>69559.98</v>
      </c>
      <c r="F313">
        <v>67377.05</v>
      </c>
      <c r="G313">
        <v>67865.47</v>
      </c>
      <c r="H313">
        <v>14.819520000000001</v>
      </c>
      <c r="I313" s="2">
        <v>46104.124999988424</v>
      </c>
      <c r="J313">
        <v>1016059.4055822</v>
      </c>
      <c r="K313">
        <v>1089</v>
      </c>
    </row>
    <row r="314" spans="1:11" x14ac:dyDescent="0.2">
      <c r="A314" s="1">
        <v>46104</v>
      </c>
      <c r="B314" t="s">
        <v>11</v>
      </c>
      <c r="C314" s="2">
        <v>46104.125</v>
      </c>
      <c r="D314">
        <v>67973.97</v>
      </c>
      <c r="E314">
        <v>71791.259999999995</v>
      </c>
      <c r="F314">
        <v>67462.39</v>
      </c>
      <c r="G314">
        <v>70910.84</v>
      </c>
      <c r="H314">
        <v>14.71007</v>
      </c>
      <c r="I314" s="2">
        <v>46105.124999988424</v>
      </c>
      <c r="J314">
        <v>1031424.0359826999</v>
      </c>
      <c r="K314">
        <v>2010</v>
      </c>
    </row>
    <row r="315" spans="1:11" x14ac:dyDescent="0.2">
      <c r="A315" s="1">
        <v>46105</v>
      </c>
      <c r="B315" t="s">
        <v>11</v>
      </c>
      <c r="C315" s="2">
        <v>46105.125</v>
      </c>
      <c r="D315">
        <v>70905.56</v>
      </c>
      <c r="E315">
        <v>71391.3</v>
      </c>
      <c r="F315">
        <v>68939.16</v>
      </c>
      <c r="G315">
        <v>70601.73</v>
      </c>
      <c r="H315">
        <v>11.794409999999999</v>
      </c>
      <c r="I315" s="2">
        <v>46106.124999988424</v>
      </c>
      <c r="J315">
        <v>828113.11640029994</v>
      </c>
      <c r="K315">
        <v>1691</v>
      </c>
    </row>
    <row r="316" spans="1:11" x14ac:dyDescent="0.2">
      <c r="A316" s="1">
        <v>46106</v>
      </c>
      <c r="B316" t="s">
        <v>11</v>
      </c>
      <c r="C316" s="2">
        <v>46106.125</v>
      </c>
      <c r="D316">
        <v>70585.02</v>
      </c>
      <c r="E316">
        <v>72000</v>
      </c>
      <c r="F316">
        <v>70416.679999999993</v>
      </c>
      <c r="G316">
        <v>71334.09</v>
      </c>
      <c r="H316">
        <v>10.379149999999999</v>
      </c>
      <c r="I316" s="2">
        <v>46107.124999988424</v>
      </c>
      <c r="J316">
        <v>739974.55178460001</v>
      </c>
      <c r="K316">
        <v>1727</v>
      </c>
    </row>
    <row r="317" spans="1:11" x14ac:dyDescent="0.2">
      <c r="A317" s="1">
        <v>46107</v>
      </c>
      <c r="B317" t="s">
        <v>11</v>
      </c>
      <c r="C317" s="2">
        <v>46107.125</v>
      </c>
      <c r="D317">
        <v>71354.83</v>
      </c>
      <c r="E317">
        <v>71442.33</v>
      </c>
      <c r="F317">
        <v>68176.03</v>
      </c>
      <c r="G317">
        <v>68807.520000000004</v>
      </c>
      <c r="H317">
        <v>27.566479999999999</v>
      </c>
      <c r="I317" s="2">
        <v>46108.124999988424</v>
      </c>
      <c r="J317">
        <v>1904232.2718578</v>
      </c>
      <c r="K317">
        <v>1707</v>
      </c>
    </row>
    <row r="318" spans="1:11" x14ac:dyDescent="0.2">
      <c r="A318" s="1">
        <v>46108</v>
      </c>
      <c r="B318" t="s">
        <v>11</v>
      </c>
      <c r="C318" s="2">
        <v>46108.125</v>
      </c>
      <c r="D318">
        <v>68811.34</v>
      </c>
      <c r="E318">
        <v>69147.69</v>
      </c>
      <c r="F318">
        <v>65575.53</v>
      </c>
      <c r="G318">
        <v>66428.47</v>
      </c>
      <c r="H318">
        <v>12.969569999999999</v>
      </c>
      <c r="I318" s="2">
        <v>46109.124999988424</v>
      </c>
      <c r="J318">
        <v>867090.86618270003</v>
      </c>
      <c r="K318">
        <v>1716</v>
      </c>
    </row>
    <row r="319" spans="1:11" x14ac:dyDescent="0.2">
      <c r="A319" s="1">
        <v>46109</v>
      </c>
      <c r="B319" t="s">
        <v>11</v>
      </c>
      <c r="C319" s="2">
        <v>46109.125</v>
      </c>
      <c r="D319">
        <v>66397.350000000006</v>
      </c>
      <c r="E319">
        <v>67270.06</v>
      </c>
      <c r="F319">
        <v>65942.22</v>
      </c>
      <c r="G319">
        <v>66393.38</v>
      </c>
      <c r="H319">
        <v>4.69055</v>
      </c>
      <c r="I319" s="2">
        <v>46110.124999988424</v>
      </c>
      <c r="J319">
        <v>312685.42076379998</v>
      </c>
      <c r="K319">
        <v>962</v>
      </c>
    </row>
    <row r="320" spans="1:11" x14ac:dyDescent="0.2">
      <c r="A320" s="1">
        <v>46110</v>
      </c>
      <c r="B320" t="s">
        <v>11</v>
      </c>
      <c r="C320" s="2">
        <v>46110.125</v>
      </c>
      <c r="D320">
        <v>66392.25</v>
      </c>
      <c r="E320">
        <v>67076.91</v>
      </c>
      <c r="F320">
        <v>65019.11</v>
      </c>
      <c r="G320">
        <v>66070.33</v>
      </c>
      <c r="H320">
        <v>9.0211900000000007</v>
      </c>
      <c r="I320" s="2">
        <v>46111.124999988424</v>
      </c>
      <c r="J320">
        <v>598700.57241180004</v>
      </c>
      <c r="K320">
        <v>1925</v>
      </c>
    </row>
    <row r="321" spans="1:11" x14ac:dyDescent="0.2">
      <c r="A321" s="1">
        <v>46111</v>
      </c>
      <c r="B321" t="s">
        <v>11</v>
      </c>
      <c r="C321" s="2">
        <v>46111.125</v>
      </c>
      <c r="D321">
        <v>66059.67</v>
      </c>
      <c r="E321">
        <v>68133.88</v>
      </c>
      <c r="F321">
        <v>65813.42</v>
      </c>
      <c r="G321">
        <v>66794.149999999994</v>
      </c>
      <c r="H321">
        <v>12.198700000000001</v>
      </c>
      <c r="I321" s="2">
        <v>46112.124999988424</v>
      </c>
      <c r="J321">
        <v>820009.78672600002</v>
      </c>
      <c r="K321">
        <v>1492</v>
      </c>
    </row>
    <row r="322" spans="1:11" x14ac:dyDescent="0.2">
      <c r="A322" s="1">
        <v>46112</v>
      </c>
      <c r="B322" t="s">
        <v>11</v>
      </c>
      <c r="C322" s="2">
        <v>46112.125</v>
      </c>
      <c r="D322">
        <v>66794.14</v>
      </c>
      <c r="E322">
        <v>68578.3</v>
      </c>
      <c r="F322">
        <v>66000</v>
      </c>
      <c r="G322">
        <v>68297.52</v>
      </c>
      <c r="H322">
        <v>12.58534</v>
      </c>
      <c r="I322" s="2">
        <v>46113.124999988424</v>
      </c>
      <c r="J322">
        <v>849445.76468380005</v>
      </c>
      <c r="K322">
        <v>1627</v>
      </c>
    </row>
    <row r="323" spans="1:11" x14ac:dyDescent="0.2">
      <c r="A323" s="1">
        <v>46113</v>
      </c>
      <c r="B323" t="s">
        <v>11</v>
      </c>
      <c r="C323" s="2">
        <v>46113.125</v>
      </c>
      <c r="D323">
        <v>68245.47</v>
      </c>
      <c r="E323">
        <v>69279.48</v>
      </c>
      <c r="F323">
        <v>67599.08</v>
      </c>
      <c r="G323">
        <v>68106.86</v>
      </c>
      <c r="H323">
        <v>11.64256</v>
      </c>
      <c r="I323" s="2">
        <v>46114.124999988424</v>
      </c>
      <c r="J323">
        <v>797318.64593760006</v>
      </c>
      <c r="K323">
        <v>1756</v>
      </c>
    </row>
    <row r="324" spans="1:11" x14ac:dyDescent="0.2">
      <c r="A324" s="1">
        <v>46114</v>
      </c>
      <c r="B324" t="s">
        <v>11</v>
      </c>
      <c r="C324" s="2">
        <v>46114.125</v>
      </c>
      <c r="D324">
        <v>68114.37</v>
      </c>
      <c r="E324">
        <v>68643.48</v>
      </c>
      <c r="F324">
        <v>65722.83</v>
      </c>
      <c r="G324">
        <v>66887.48</v>
      </c>
      <c r="H324">
        <v>56.588650000000001</v>
      </c>
      <c r="I324" s="2">
        <v>46115.124999988424</v>
      </c>
      <c r="J324">
        <v>3776392.7361269002</v>
      </c>
      <c r="K324">
        <v>5079</v>
      </c>
    </row>
    <row r="325" spans="1:11" x14ac:dyDescent="0.2">
      <c r="A325" s="1">
        <v>46115</v>
      </c>
      <c r="B325" t="s">
        <v>11</v>
      </c>
      <c r="C325" s="2">
        <v>46115.125</v>
      </c>
      <c r="D325">
        <v>66960.28</v>
      </c>
      <c r="E325">
        <v>67336.72</v>
      </c>
      <c r="F325">
        <v>66302.080000000002</v>
      </c>
      <c r="G325">
        <v>66939.09</v>
      </c>
      <c r="H325">
        <v>70.859350000000006</v>
      </c>
      <c r="I325" s="2">
        <v>46116.124999988424</v>
      </c>
      <c r="J325">
        <v>4734945.5294490997</v>
      </c>
      <c r="K325">
        <v>5174</v>
      </c>
    </row>
    <row r="326" spans="1:11" x14ac:dyDescent="0.2">
      <c r="A326" s="1">
        <v>46116</v>
      </c>
      <c r="B326" t="s">
        <v>11</v>
      </c>
      <c r="C326" s="2">
        <v>46116.125</v>
      </c>
      <c r="D326">
        <v>66951.360000000001</v>
      </c>
      <c r="E326">
        <v>67540</v>
      </c>
      <c r="F326">
        <v>66625.78</v>
      </c>
      <c r="G326">
        <v>67303.95</v>
      </c>
      <c r="H326">
        <v>64.778189999999995</v>
      </c>
      <c r="I326" s="2">
        <v>46117.124999988424</v>
      </c>
      <c r="J326">
        <v>4328675.2241179002</v>
      </c>
      <c r="K326">
        <v>1454</v>
      </c>
    </row>
    <row r="327" spans="1:11" x14ac:dyDescent="0.2">
      <c r="A327" s="1">
        <v>46117</v>
      </c>
      <c r="B327" t="s">
        <v>11</v>
      </c>
      <c r="C327" s="2">
        <v>46117.125</v>
      </c>
      <c r="D327">
        <v>67306.28</v>
      </c>
      <c r="E327">
        <v>69123.42</v>
      </c>
      <c r="F327">
        <v>66642.350000000006</v>
      </c>
      <c r="G327">
        <v>69007.23</v>
      </c>
      <c r="H327">
        <v>6.82531</v>
      </c>
      <c r="I327" s="2">
        <v>46118.124999988424</v>
      </c>
      <c r="J327">
        <v>460198.74859729997</v>
      </c>
      <c r="K327">
        <v>1312</v>
      </c>
    </row>
    <row r="328" spans="1:11" x14ac:dyDescent="0.2">
      <c r="A328" s="1">
        <v>46118</v>
      </c>
      <c r="B328" t="s">
        <v>11</v>
      </c>
      <c r="C328" s="2">
        <v>46118.125</v>
      </c>
      <c r="D328">
        <v>69047.199999999997</v>
      </c>
      <c r="E328">
        <v>70358.649999999994</v>
      </c>
      <c r="F328">
        <v>68332.710000000006</v>
      </c>
      <c r="G328">
        <v>68878.64</v>
      </c>
      <c r="H328">
        <v>135.00959</v>
      </c>
      <c r="I328" s="2">
        <v>46119.124999988424</v>
      </c>
      <c r="J328">
        <v>9378595.2692917995</v>
      </c>
      <c r="K328">
        <v>10988</v>
      </c>
    </row>
    <row r="329" spans="1:11" x14ac:dyDescent="0.2">
      <c r="A329" s="1">
        <v>46119</v>
      </c>
      <c r="B329" t="s">
        <v>11</v>
      </c>
      <c r="C329" s="2">
        <v>46119.125</v>
      </c>
      <c r="D329">
        <v>68828.55</v>
      </c>
      <c r="E329">
        <v>72745.83</v>
      </c>
      <c r="F329">
        <v>67755.5</v>
      </c>
      <c r="G329">
        <v>71964.45</v>
      </c>
      <c r="H329">
        <v>31.36073</v>
      </c>
      <c r="I329" s="2">
        <v>46120.124999988424</v>
      </c>
      <c r="J329">
        <v>2184943.3291471</v>
      </c>
      <c r="K329">
        <v>4173</v>
      </c>
    </row>
    <row r="330" spans="1:11" x14ac:dyDescent="0.2">
      <c r="A330" s="1">
        <v>46120</v>
      </c>
      <c r="B330" t="s">
        <v>11</v>
      </c>
      <c r="C330" s="2">
        <v>46120.125</v>
      </c>
      <c r="D330">
        <v>71956.27</v>
      </c>
      <c r="E330">
        <v>72845.48</v>
      </c>
      <c r="F330">
        <v>70723.97</v>
      </c>
      <c r="G330">
        <v>71078.16</v>
      </c>
      <c r="H330">
        <v>25.88861</v>
      </c>
      <c r="I330" s="2">
        <v>46121.124999988424</v>
      </c>
      <c r="J330">
        <v>1851644.9714742999</v>
      </c>
      <c r="K330">
        <v>2221</v>
      </c>
    </row>
    <row r="331" spans="1:11" x14ac:dyDescent="0.2">
      <c r="A331" s="1">
        <v>46121</v>
      </c>
      <c r="B331" t="s">
        <v>11</v>
      </c>
      <c r="C331" s="2">
        <v>46121.125</v>
      </c>
      <c r="D331">
        <v>71028.7</v>
      </c>
      <c r="E331">
        <v>73131.98</v>
      </c>
      <c r="F331">
        <v>70491.91</v>
      </c>
      <c r="G331">
        <v>71831.7</v>
      </c>
      <c r="H331">
        <v>24.792000000000002</v>
      </c>
      <c r="I331" s="2">
        <v>46122.124999988424</v>
      </c>
      <c r="J331">
        <v>1784675.7462790001</v>
      </c>
      <c r="K331">
        <v>1822</v>
      </c>
    </row>
    <row r="332" spans="1:11" x14ac:dyDescent="0.2">
      <c r="A332" s="1">
        <v>46122</v>
      </c>
      <c r="B332" t="s">
        <v>11</v>
      </c>
      <c r="C332" s="2">
        <v>46122.125</v>
      </c>
      <c r="D332">
        <v>71795.56</v>
      </c>
      <c r="E332">
        <v>73444.639999999999</v>
      </c>
      <c r="F332">
        <v>71451.38</v>
      </c>
      <c r="G332">
        <v>72959.509999999995</v>
      </c>
      <c r="H332">
        <v>27.981349999999999</v>
      </c>
      <c r="I332" s="2">
        <v>46123.124999988424</v>
      </c>
      <c r="J332">
        <v>2034080.4656026999</v>
      </c>
      <c r="K332">
        <v>1634</v>
      </c>
    </row>
    <row r="333" spans="1:11" x14ac:dyDescent="0.2">
      <c r="A333" s="1">
        <v>46123</v>
      </c>
      <c r="B333" t="s">
        <v>11</v>
      </c>
      <c r="C333" s="2">
        <v>46123.125</v>
      </c>
      <c r="D333">
        <v>72914.22</v>
      </c>
      <c r="E333">
        <v>73799.95</v>
      </c>
      <c r="F333">
        <v>72533.899999999994</v>
      </c>
      <c r="G333">
        <v>73052.08</v>
      </c>
      <c r="H333">
        <v>8.3280499999999993</v>
      </c>
      <c r="I333" s="2">
        <v>46124.124999988424</v>
      </c>
      <c r="J333">
        <v>608715.96405149996</v>
      </c>
      <c r="K333">
        <v>1689</v>
      </c>
    </row>
    <row r="334" spans="1:11" x14ac:dyDescent="0.2">
      <c r="A334" s="1">
        <v>46124</v>
      </c>
      <c r="B334" t="s">
        <v>11</v>
      </c>
      <c r="C334" s="2">
        <v>46124.125</v>
      </c>
      <c r="D334">
        <v>73026.13</v>
      </c>
      <c r="E334">
        <v>73143.070000000007</v>
      </c>
      <c r="F334">
        <v>70537.990000000005</v>
      </c>
      <c r="G334">
        <v>70726.649999999994</v>
      </c>
      <c r="H334">
        <v>8.5275599999999994</v>
      </c>
      <c r="I334" s="2">
        <v>46125.124999988424</v>
      </c>
      <c r="J334">
        <v>609533.65544909996</v>
      </c>
      <c r="K334">
        <v>1267</v>
      </c>
    </row>
    <row r="335" spans="1:11" x14ac:dyDescent="0.2">
      <c r="A335" s="1">
        <v>46125</v>
      </c>
      <c r="B335" t="s">
        <v>11</v>
      </c>
      <c r="C335" s="2">
        <v>46125.125</v>
      </c>
      <c r="D335">
        <v>70693.47</v>
      </c>
      <c r="E335">
        <v>74892</v>
      </c>
      <c r="F335">
        <v>70534.210000000006</v>
      </c>
      <c r="G335">
        <v>74496.7</v>
      </c>
      <c r="H335">
        <v>45.804040000000001</v>
      </c>
      <c r="I335" s="2">
        <v>46126.124999988424</v>
      </c>
      <c r="J335">
        <v>3325079.9212726001</v>
      </c>
      <c r="K335">
        <v>3183</v>
      </c>
    </row>
    <row r="336" spans="1:11" x14ac:dyDescent="0.2">
      <c r="A336" s="1">
        <v>46126</v>
      </c>
      <c r="B336" t="s">
        <v>11</v>
      </c>
      <c r="C336" s="2">
        <v>46126.125</v>
      </c>
      <c r="D336">
        <v>74421.25</v>
      </c>
      <c r="E336">
        <v>76039.16</v>
      </c>
      <c r="F336">
        <v>73847.990000000005</v>
      </c>
      <c r="G336">
        <v>74158.73</v>
      </c>
      <c r="H336">
        <v>34.593919999999997</v>
      </c>
      <c r="I336" s="2">
        <v>46127.124999988424</v>
      </c>
      <c r="J336">
        <v>2578839.5401869998</v>
      </c>
      <c r="K336">
        <v>2794</v>
      </c>
    </row>
    <row r="337" spans="1:11" x14ac:dyDescent="0.2">
      <c r="A337" s="1">
        <v>46127</v>
      </c>
      <c r="B337" t="s">
        <v>11</v>
      </c>
      <c r="C337" s="2">
        <v>46127.125</v>
      </c>
      <c r="D337">
        <v>74151.75</v>
      </c>
      <c r="E337">
        <v>75400</v>
      </c>
      <c r="F337">
        <v>73550.5</v>
      </c>
      <c r="G337">
        <v>74806.490000000005</v>
      </c>
      <c r="H337">
        <v>23.782779999999999</v>
      </c>
      <c r="I337" s="2">
        <v>46128.124999988424</v>
      </c>
      <c r="J337">
        <v>1768501.2317206999</v>
      </c>
      <c r="K337">
        <v>2267</v>
      </c>
    </row>
    <row r="338" spans="1:11" x14ac:dyDescent="0.2">
      <c r="A338" s="1">
        <v>46128</v>
      </c>
      <c r="B338" t="s">
        <v>11</v>
      </c>
      <c r="C338" s="2">
        <v>46128.125</v>
      </c>
      <c r="D338">
        <v>74821</v>
      </c>
      <c r="E338">
        <v>75507.539999999994</v>
      </c>
      <c r="F338">
        <v>73322.570000000007</v>
      </c>
      <c r="G338">
        <v>75099.58</v>
      </c>
      <c r="H338">
        <v>31.644439999999999</v>
      </c>
      <c r="I338" s="2">
        <v>46129.124999988424</v>
      </c>
      <c r="J338">
        <v>2364602.4426672002</v>
      </c>
      <c r="K338">
        <v>2372</v>
      </c>
    </row>
    <row r="339" spans="1:11" x14ac:dyDescent="0.2">
      <c r="A339" s="1">
        <v>46129</v>
      </c>
      <c r="B339" t="s">
        <v>11</v>
      </c>
      <c r="C339" s="2">
        <v>46129.125</v>
      </c>
      <c r="D339">
        <v>75122.22</v>
      </c>
      <c r="E339">
        <v>78304.820000000007</v>
      </c>
      <c r="F339">
        <v>74568.28</v>
      </c>
      <c r="G339">
        <v>77097.649999999994</v>
      </c>
      <c r="H339">
        <v>43.037979999999997</v>
      </c>
      <c r="I339" s="2">
        <v>46130.124999988424</v>
      </c>
      <c r="J339">
        <v>3303666.3084527999</v>
      </c>
      <c r="K339">
        <v>3041</v>
      </c>
    </row>
    <row r="340" spans="1:11" x14ac:dyDescent="0.2">
      <c r="A340" s="1">
        <v>46130</v>
      </c>
      <c r="B340" t="s">
        <v>11</v>
      </c>
      <c r="C340" s="2">
        <v>46130.125</v>
      </c>
      <c r="D340">
        <v>77054.77</v>
      </c>
      <c r="E340">
        <v>77381.47</v>
      </c>
      <c r="F340">
        <v>75437.679999999993</v>
      </c>
      <c r="G340">
        <v>75714.23</v>
      </c>
      <c r="H340">
        <v>7.7825699999999998</v>
      </c>
      <c r="I340" s="2">
        <v>46131.124999988424</v>
      </c>
      <c r="J340">
        <v>594727.77050930005</v>
      </c>
      <c r="K340">
        <v>1078</v>
      </c>
    </row>
    <row r="341" spans="1:11" x14ac:dyDescent="0.2">
      <c r="A341" s="1">
        <v>46131</v>
      </c>
      <c r="B341" t="s">
        <v>11</v>
      </c>
      <c r="C341" s="2">
        <v>46131.125</v>
      </c>
      <c r="D341">
        <v>75752.539999999994</v>
      </c>
      <c r="E341">
        <v>76197.960000000006</v>
      </c>
      <c r="F341">
        <v>73756.7</v>
      </c>
      <c r="G341">
        <v>73793.740000000005</v>
      </c>
      <c r="H341">
        <v>5.3595499999999996</v>
      </c>
      <c r="I341" s="2">
        <v>46132.124999988424</v>
      </c>
      <c r="J341">
        <v>401949.36854719999</v>
      </c>
      <c r="K341">
        <v>1102</v>
      </c>
    </row>
    <row r="342" spans="1:11" x14ac:dyDescent="0.2">
      <c r="A342" s="1">
        <v>46132</v>
      </c>
      <c r="B342" t="s">
        <v>11</v>
      </c>
      <c r="C342" s="2">
        <v>46132.125</v>
      </c>
      <c r="D342">
        <v>73756.7</v>
      </c>
      <c r="E342">
        <v>76538.06</v>
      </c>
      <c r="F342">
        <v>73740.31</v>
      </c>
      <c r="G342">
        <v>75853.48</v>
      </c>
      <c r="H342">
        <v>13.350059999999999</v>
      </c>
      <c r="I342" s="2">
        <v>46133.124999988424</v>
      </c>
      <c r="J342">
        <v>1003055.7654636001</v>
      </c>
      <c r="K342">
        <v>1905</v>
      </c>
    </row>
    <row r="343" spans="1:11" x14ac:dyDescent="0.2">
      <c r="A343" s="1">
        <v>46133</v>
      </c>
      <c r="B343" t="s">
        <v>11</v>
      </c>
      <c r="C343" s="2">
        <v>46133.125</v>
      </c>
      <c r="D343">
        <v>75844.929999999993</v>
      </c>
      <c r="E343">
        <v>76925.97</v>
      </c>
      <c r="F343">
        <v>74828.7</v>
      </c>
      <c r="G343">
        <v>76305.279999999999</v>
      </c>
      <c r="H343">
        <v>10.243449999999999</v>
      </c>
      <c r="I343" s="2">
        <v>46134.124999988424</v>
      </c>
      <c r="J343">
        <v>779060.84987439995</v>
      </c>
      <c r="K343">
        <v>2098</v>
      </c>
    </row>
    <row r="344" spans="1:11" x14ac:dyDescent="0.2">
      <c r="A344" s="1">
        <v>46134</v>
      </c>
      <c r="B344" t="s">
        <v>11</v>
      </c>
      <c r="C344" s="2">
        <v>46134.125</v>
      </c>
      <c r="D344">
        <v>76373.03</v>
      </c>
      <c r="E344">
        <v>79452.89</v>
      </c>
      <c r="F344">
        <v>76141.919999999998</v>
      </c>
      <c r="G344">
        <v>78208.89</v>
      </c>
      <c r="H344">
        <v>15.420870000000001</v>
      </c>
      <c r="I344" s="2">
        <v>46135.124999988424</v>
      </c>
      <c r="J344">
        <v>1206269.0753545</v>
      </c>
      <c r="K344">
        <v>3219</v>
      </c>
    </row>
    <row r="345" spans="1:11" x14ac:dyDescent="0.2">
      <c r="A345" s="1">
        <v>46135</v>
      </c>
      <c r="B345" t="s">
        <v>11</v>
      </c>
      <c r="C345" s="2">
        <v>46135.125</v>
      </c>
      <c r="D345">
        <v>78193.38</v>
      </c>
      <c r="E345">
        <v>78651.8</v>
      </c>
      <c r="F345">
        <v>76965.05</v>
      </c>
      <c r="G345">
        <v>78254.34</v>
      </c>
      <c r="H345">
        <v>10.16122</v>
      </c>
      <c r="I345" s="2">
        <v>46136.124999988424</v>
      </c>
      <c r="J345">
        <v>792264.90431819996</v>
      </c>
      <c r="K345">
        <v>2038</v>
      </c>
    </row>
    <row r="346" spans="1:11" x14ac:dyDescent="0.2">
      <c r="A346" s="1">
        <v>46136</v>
      </c>
      <c r="B346" t="s">
        <v>11</v>
      </c>
      <c r="C346" s="2">
        <v>46136.125</v>
      </c>
      <c r="D346">
        <v>78265.13</v>
      </c>
      <c r="E346">
        <v>78563.95</v>
      </c>
      <c r="F346">
        <v>77234.23</v>
      </c>
      <c r="G346">
        <v>77438.570000000007</v>
      </c>
      <c r="H346">
        <v>5.48203</v>
      </c>
      <c r="I346" s="2">
        <v>46137.124999988424</v>
      </c>
      <c r="J346">
        <v>426551.56356149999</v>
      </c>
      <c r="K346">
        <v>1534</v>
      </c>
    </row>
    <row r="347" spans="1:11" x14ac:dyDescent="0.2">
      <c r="A347" s="1">
        <v>46137</v>
      </c>
      <c r="B347" t="s">
        <v>11</v>
      </c>
      <c r="C347" s="2">
        <v>46137.125</v>
      </c>
      <c r="D347">
        <v>77411.22</v>
      </c>
      <c r="E347">
        <v>77870.13</v>
      </c>
      <c r="F347">
        <v>77165.67</v>
      </c>
      <c r="G347">
        <v>77610.679999999993</v>
      </c>
      <c r="H347">
        <v>4.4270199999999997</v>
      </c>
      <c r="I347" s="2">
        <v>46138.124999988424</v>
      </c>
      <c r="J347">
        <v>343434.20425559999</v>
      </c>
      <c r="K347">
        <v>824</v>
      </c>
    </row>
    <row r="348" spans="1:11" x14ac:dyDescent="0.2">
      <c r="A348" s="1">
        <v>46138</v>
      </c>
      <c r="B348" t="s">
        <v>11</v>
      </c>
      <c r="C348" s="2">
        <v>46138.125</v>
      </c>
      <c r="D348">
        <v>77631.64</v>
      </c>
      <c r="E348">
        <v>78920</v>
      </c>
      <c r="F348">
        <v>77340.149999999994</v>
      </c>
      <c r="G348">
        <v>78626.16</v>
      </c>
      <c r="H348">
        <v>7.57341</v>
      </c>
      <c r="I348" s="2">
        <v>46139.124999988424</v>
      </c>
      <c r="J348">
        <v>591449.60008969996</v>
      </c>
      <c r="K348">
        <v>1358</v>
      </c>
    </row>
    <row r="349" spans="1:11" x14ac:dyDescent="0.2">
      <c r="A349" s="1">
        <v>46139</v>
      </c>
      <c r="B349" t="s">
        <v>11</v>
      </c>
      <c r="C349" s="2">
        <v>46139.125</v>
      </c>
      <c r="D349">
        <v>78658.009999999995</v>
      </c>
      <c r="E349">
        <v>79448.45</v>
      </c>
      <c r="F349">
        <v>76491.06</v>
      </c>
      <c r="G349">
        <v>77373.7</v>
      </c>
      <c r="H349">
        <v>17.782389999999999</v>
      </c>
      <c r="I349" s="2">
        <v>46140.124999988424</v>
      </c>
      <c r="J349">
        <v>1378654.3402517</v>
      </c>
      <c r="K349">
        <v>2287</v>
      </c>
    </row>
    <row r="350" spans="1:11" x14ac:dyDescent="0.2">
      <c r="A350" s="1">
        <v>46140</v>
      </c>
      <c r="B350" t="s">
        <v>11</v>
      </c>
      <c r="C350" s="2">
        <v>46140.125</v>
      </c>
      <c r="D350">
        <v>77326.95</v>
      </c>
      <c r="E350">
        <v>77479.58</v>
      </c>
      <c r="F350">
        <v>75674.97</v>
      </c>
      <c r="G350">
        <v>76332.320000000007</v>
      </c>
      <c r="H350">
        <v>4.6679500000000003</v>
      </c>
      <c r="I350" s="2">
        <v>46141.124999988424</v>
      </c>
      <c r="J350">
        <v>356678.86133879999</v>
      </c>
      <c r="K350">
        <v>1262</v>
      </c>
    </row>
    <row r="351" spans="1:11" x14ac:dyDescent="0.2">
      <c r="A351" s="1">
        <v>46141</v>
      </c>
      <c r="B351" t="s">
        <v>11</v>
      </c>
      <c r="C351" s="2">
        <v>46141.125</v>
      </c>
      <c r="D351">
        <v>76350.429999999993</v>
      </c>
      <c r="E351">
        <v>77857.100000000006</v>
      </c>
      <c r="F351">
        <v>74916.160000000003</v>
      </c>
      <c r="G351">
        <v>75792.81</v>
      </c>
      <c r="H351">
        <v>8.9427000000000003</v>
      </c>
      <c r="I351" s="2">
        <v>46142.124999988424</v>
      </c>
      <c r="J351">
        <v>681865.93103510002</v>
      </c>
      <c r="K351">
        <v>2310</v>
      </c>
    </row>
    <row r="352" spans="1:11" x14ac:dyDescent="0.2">
      <c r="A352" s="1">
        <v>46142</v>
      </c>
      <c r="B352" t="s">
        <v>11</v>
      </c>
      <c r="C352" s="2">
        <v>46142.125</v>
      </c>
      <c r="D352">
        <v>75800.33</v>
      </c>
      <c r="E352">
        <v>76641.13</v>
      </c>
      <c r="F352">
        <v>75316.36</v>
      </c>
      <c r="G352">
        <v>76327.210000000006</v>
      </c>
      <c r="H352">
        <v>8.2380700000000004</v>
      </c>
      <c r="I352" s="2">
        <v>46143.124999988424</v>
      </c>
      <c r="J352">
        <v>628229.03307769995</v>
      </c>
      <c r="K352">
        <v>1576</v>
      </c>
    </row>
    <row r="353" spans="1:11" x14ac:dyDescent="0.2">
      <c r="A353" s="1">
        <v>46143</v>
      </c>
      <c r="B353" t="s">
        <v>11</v>
      </c>
      <c r="C353" s="2">
        <v>46143.125</v>
      </c>
      <c r="D353">
        <v>76354.39</v>
      </c>
      <c r="E353">
        <v>78920.7</v>
      </c>
      <c r="F353">
        <v>76354.39</v>
      </c>
      <c r="G353">
        <v>78235.09</v>
      </c>
      <c r="H353">
        <v>16.30237</v>
      </c>
      <c r="I353" s="2">
        <v>46144.124999988424</v>
      </c>
      <c r="J353">
        <v>1269042.399152</v>
      </c>
      <c r="K353">
        <v>1967</v>
      </c>
    </row>
    <row r="354" spans="1:11" x14ac:dyDescent="0.2">
      <c r="A354" s="1">
        <v>46144</v>
      </c>
      <c r="B354" t="s">
        <v>11</v>
      </c>
      <c r="C354" s="2">
        <v>46144.125</v>
      </c>
      <c r="D354">
        <v>78235.09</v>
      </c>
      <c r="E354">
        <v>79143.399999999994</v>
      </c>
      <c r="F354">
        <v>78043.73</v>
      </c>
      <c r="G354">
        <v>78674.91</v>
      </c>
      <c r="H354">
        <v>4.7432100000000004</v>
      </c>
      <c r="I354" s="2">
        <v>46145.124999988424</v>
      </c>
      <c r="J354">
        <v>371913.33736950002</v>
      </c>
      <c r="K354">
        <v>1447</v>
      </c>
    </row>
    <row r="355" spans="1:11" x14ac:dyDescent="0.2">
      <c r="A355" s="1">
        <v>46145</v>
      </c>
      <c r="B355" t="s">
        <v>11</v>
      </c>
      <c r="C355" s="2">
        <v>46145.125</v>
      </c>
      <c r="D355">
        <v>78702.31</v>
      </c>
      <c r="E355">
        <v>79427.87</v>
      </c>
      <c r="F355">
        <v>78090.039999999994</v>
      </c>
      <c r="G355">
        <v>78565.73</v>
      </c>
      <c r="H355">
        <v>8.9049099999999992</v>
      </c>
      <c r="I355" s="2">
        <v>46146.124999988424</v>
      </c>
      <c r="J355">
        <v>702295.52870849997</v>
      </c>
      <c r="K355">
        <v>3306</v>
      </c>
    </row>
    <row r="356" spans="1:11" x14ac:dyDescent="0.2">
      <c r="A356" s="1">
        <v>46146</v>
      </c>
      <c r="B356" t="s">
        <v>11</v>
      </c>
      <c r="C356" s="2">
        <v>46146.125</v>
      </c>
      <c r="D356">
        <v>78500</v>
      </c>
      <c r="E356">
        <v>80739.02</v>
      </c>
      <c r="F356">
        <v>78230.48</v>
      </c>
      <c r="G356">
        <v>79858.720000000001</v>
      </c>
      <c r="H356">
        <v>36.336660000000002</v>
      </c>
      <c r="I356" s="2">
        <v>46147.124999988424</v>
      </c>
      <c r="J356">
        <v>2907355.6519863</v>
      </c>
      <c r="K356">
        <v>2893</v>
      </c>
    </row>
    <row r="357" spans="1:11" x14ac:dyDescent="0.2">
      <c r="A357" s="1">
        <v>46147</v>
      </c>
      <c r="B357" t="s">
        <v>11</v>
      </c>
      <c r="C357" s="2">
        <v>46147.125</v>
      </c>
      <c r="D357">
        <v>79856.960000000006</v>
      </c>
      <c r="E357">
        <v>81770.350000000006</v>
      </c>
      <c r="F357">
        <v>79798.03</v>
      </c>
      <c r="G357">
        <v>80933.100000000006</v>
      </c>
      <c r="H357">
        <v>18.544540000000001</v>
      </c>
      <c r="I357" s="2">
        <v>46148.124999988424</v>
      </c>
      <c r="J357">
        <v>1504797.4682285001</v>
      </c>
      <c r="K357">
        <v>2261</v>
      </c>
    </row>
    <row r="358" spans="1:11" x14ac:dyDescent="0.2">
      <c r="A358" s="1">
        <v>46148</v>
      </c>
      <c r="B358" t="s">
        <v>11</v>
      </c>
      <c r="C358" s="2">
        <v>46148.125</v>
      </c>
      <c r="D358">
        <v>80870.12</v>
      </c>
      <c r="E358">
        <v>82807</v>
      </c>
      <c r="F358">
        <v>80767.490000000005</v>
      </c>
      <c r="G358">
        <v>81444.83</v>
      </c>
      <c r="H358">
        <v>85.472179999999994</v>
      </c>
      <c r="I358" s="2">
        <v>46149.124999988424</v>
      </c>
      <c r="J358">
        <v>6974973.5851026997</v>
      </c>
      <c r="K358">
        <v>5202</v>
      </c>
    </row>
    <row r="359" spans="1:11" x14ac:dyDescent="0.2">
      <c r="A359" s="1">
        <v>46149</v>
      </c>
      <c r="B359" t="s">
        <v>11</v>
      </c>
      <c r="C359" s="2">
        <v>46149.125</v>
      </c>
      <c r="D359">
        <v>81434.94</v>
      </c>
      <c r="E359">
        <v>81696.490000000005</v>
      </c>
      <c r="F359">
        <v>79500.009999999995</v>
      </c>
      <c r="G359">
        <v>80034.95</v>
      </c>
      <c r="H359">
        <v>29.411619999999999</v>
      </c>
      <c r="I359" s="2">
        <v>46150.124999988424</v>
      </c>
      <c r="J359">
        <v>2363374.4896517</v>
      </c>
      <c r="K359">
        <v>2254</v>
      </c>
    </row>
    <row r="360" spans="1:11" x14ac:dyDescent="0.2">
      <c r="A360" s="1">
        <v>46150</v>
      </c>
      <c r="B360" t="s">
        <v>11</v>
      </c>
      <c r="C360" s="2">
        <v>46150.125</v>
      </c>
      <c r="D360">
        <v>80038.55</v>
      </c>
      <c r="E360">
        <v>80466.11</v>
      </c>
      <c r="F360">
        <v>79244.31</v>
      </c>
      <c r="G360">
        <v>80205.47</v>
      </c>
      <c r="H360">
        <v>15.019780000000001</v>
      </c>
      <c r="I360" s="2">
        <v>46151.124999988424</v>
      </c>
      <c r="J360">
        <v>1201024.1551041999</v>
      </c>
      <c r="K360">
        <v>1662</v>
      </c>
    </row>
    <row r="361" spans="1:11" x14ac:dyDescent="0.2">
      <c r="A361" s="1">
        <v>46151</v>
      </c>
      <c r="B361" t="s">
        <v>11</v>
      </c>
      <c r="C361" s="2">
        <v>46151.125</v>
      </c>
      <c r="D361">
        <v>80180.3</v>
      </c>
      <c r="E361">
        <v>81069.59</v>
      </c>
      <c r="F361">
        <v>80000</v>
      </c>
      <c r="G361">
        <v>80697.78</v>
      </c>
      <c r="H361">
        <v>18.797699999999999</v>
      </c>
      <c r="I361" s="2">
        <v>46152.124999988424</v>
      </c>
      <c r="J361">
        <v>1513784.9718581</v>
      </c>
      <c r="K361">
        <v>1577</v>
      </c>
    </row>
    <row r="362" spans="1:11" x14ac:dyDescent="0.2">
      <c r="A362" s="1">
        <v>46152</v>
      </c>
      <c r="B362" t="s">
        <v>11</v>
      </c>
      <c r="C362" s="2">
        <v>46152.125</v>
      </c>
      <c r="D362">
        <v>80698.89</v>
      </c>
      <c r="E362">
        <v>82447.41</v>
      </c>
      <c r="F362">
        <v>79537.17</v>
      </c>
      <c r="G362">
        <v>82154.399999999994</v>
      </c>
      <c r="H362">
        <v>26.050820000000002</v>
      </c>
      <c r="I362" s="2">
        <v>46153.124999988424</v>
      </c>
      <c r="J362">
        <v>2126090.7236517998</v>
      </c>
      <c r="K362">
        <v>2012</v>
      </c>
    </row>
    <row r="363" spans="1:11" x14ac:dyDescent="0.2">
      <c r="A363" s="1">
        <v>46153</v>
      </c>
      <c r="B363" t="s">
        <v>11</v>
      </c>
      <c r="C363" s="2">
        <v>46153.125</v>
      </c>
      <c r="D363">
        <v>82262.149999999994</v>
      </c>
      <c r="E363">
        <v>82288.399999999994</v>
      </c>
      <c r="F363">
        <v>80489.509999999995</v>
      </c>
      <c r="G363">
        <v>81774.05</v>
      </c>
      <c r="H363">
        <v>17.071339999999999</v>
      </c>
      <c r="I363" s="2">
        <v>46154.124999988424</v>
      </c>
      <c r="J363">
        <v>1392285.8155775999</v>
      </c>
      <c r="K363">
        <v>2219</v>
      </c>
    </row>
    <row r="364" spans="1:11" x14ac:dyDescent="0.2">
      <c r="A364" s="1">
        <v>46154</v>
      </c>
      <c r="B364" t="s">
        <v>11</v>
      </c>
      <c r="C364" s="2">
        <v>46154.125</v>
      </c>
      <c r="D364">
        <v>81730</v>
      </c>
      <c r="E364">
        <v>81801.36</v>
      </c>
      <c r="F364">
        <v>79865.3</v>
      </c>
      <c r="G364">
        <v>80483.199999999997</v>
      </c>
      <c r="H364">
        <v>13.7369</v>
      </c>
      <c r="I364" s="2">
        <v>46155.124999988424</v>
      </c>
      <c r="J364">
        <v>1106373.8744230999</v>
      </c>
      <c r="K364">
        <v>2673</v>
      </c>
    </row>
    <row r="365" spans="1:11" x14ac:dyDescent="0.2">
      <c r="A365" s="1">
        <v>46155</v>
      </c>
      <c r="B365" t="s">
        <v>11</v>
      </c>
      <c r="C365" s="2">
        <v>46155.125</v>
      </c>
      <c r="D365">
        <v>80490.16</v>
      </c>
      <c r="E365">
        <v>81309.42</v>
      </c>
      <c r="F365">
        <v>78776.88</v>
      </c>
      <c r="G365">
        <v>79329.710000000006</v>
      </c>
      <c r="H365">
        <v>103.548</v>
      </c>
      <c r="I365" s="2">
        <v>46156.124999988424</v>
      </c>
      <c r="J365">
        <v>8354206.2894796003</v>
      </c>
      <c r="K365">
        <v>3682</v>
      </c>
    </row>
    <row r="366" spans="1:11" x14ac:dyDescent="0.2">
      <c r="A366" s="1">
        <v>46156</v>
      </c>
      <c r="B366" t="s">
        <v>11</v>
      </c>
      <c r="C366" s="2">
        <v>46156.125</v>
      </c>
      <c r="D366">
        <v>79335.34</v>
      </c>
      <c r="E366">
        <v>82030.33</v>
      </c>
      <c r="F366">
        <v>78954.14</v>
      </c>
      <c r="G366">
        <v>81077.62</v>
      </c>
      <c r="H366">
        <v>49.66583</v>
      </c>
      <c r="I366" s="2">
        <v>46157.124999988424</v>
      </c>
      <c r="J366">
        <v>4015532.8204044998</v>
      </c>
      <c r="K366">
        <v>2743</v>
      </c>
    </row>
    <row r="367" spans="1:11" x14ac:dyDescent="0.2">
      <c r="A367" s="1">
        <v>46157</v>
      </c>
      <c r="B367" t="s">
        <v>11</v>
      </c>
      <c r="C367" s="2">
        <v>46157.125</v>
      </c>
      <c r="D367">
        <v>81106.399999999994</v>
      </c>
      <c r="E367">
        <v>81721.210000000006</v>
      </c>
      <c r="F367">
        <v>78670.399999999994</v>
      </c>
      <c r="G367">
        <v>79417.649999999994</v>
      </c>
      <c r="H367">
        <v>35.06559</v>
      </c>
      <c r="I367" s="2">
        <v>46158.124999988424</v>
      </c>
      <c r="J367">
        <v>2826517.9434019001</v>
      </c>
      <c r="K367">
        <v>2018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5B39-6E22-114C-9CEB-DB0B98B44325}">
  <dimension ref="A1:K367"/>
  <sheetViews>
    <sheetView zoomScaleNormal="100" workbookViewId="0">
      <selection activeCell="M27" sqref="M27"/>
    </sheetView>
  </sheetViews>
  <sheetFormatPr baseColWidth="10" defaultRowHeight="16" x14ac:dyDescent="0.2"/>
  <cols>
    <col min="1" max="1" width="10.1640625" bestFit="1" customWidth="1"/>
    <col min="2" max="2" width="9.5" bestFit="1" customWidth="1"/>
    <col min="3" max="3" width="15.1640625" bestFit="1" customWidth="1"/>
    <col min="4" max="4" width="8" bestFit="1" customWidth="1"/>
    <col min="5" max="5" width="7.33203125" bestFit="1" customWidth="1"/>
    <col min="6" max="6" width="7.1640625" bestFit="1" customWidth="1"/>
    <col min="7" max="7" width="8.33203125" bestFit="1" customWidth="1"/>
    <col min="8" max="8" width="10.1640625" bestFit="1" customWidth="1"/>
    <col min="9" max="9" width="15.5" bestFit="1" customWidth="1"/>
    <col min="10" max="10" width="14.6640625" bestFit="1" customWidth="1"/>
    <col min="11" max="11" width="17.3320312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">
      <c r="A2" s="1">
        <v>45792</v>
      </c>
      <c r="B2" t="s">
        <v>12</v>
      </c>
      <c r="C2" s="2">
        <v>45792.125</v>
      </c>
      <c r="D2">
        <v>176.75</v>
      </c>
      <c r="E2">
        <v>178.32</v>
      </c>
      <c r="F2">
        <v>166.92</v>
      </c>
      <c r="G2">
        <v>169.16</v>
      </c>
      <c r="H2">
        <v>3890.067</v>
      </c>
      <c r="I2" s="2">
        <v>45793.124999988424</v>
      </c>
      <c r="J2">
        <v>667929.95999</v>
      </c>
      <c r="K2">
        <v>1537</v>
      </c>
    </row>
    <row r="3" spans="1:11" x14ac:dyDescent="0.2">
      <c r="A3" s="1">
        <v>45793</v>
      </c>
      <c r="B3" t="s">
        <v>12</v>
      </c>
      <c r="C3" s="2">
        <v>45793.125</v>
      </c>
      <c r="D3">
        <v>169.09</v>
      </c>
      <c r="E3">
        <v>174.05</v>
      </c>
      <c r="F3">
        <v>166.49</v>
      </c>
      <c r="G3">
        <v>167.3</v>
      </c>
      <c r="H3">
        <v>1250.058</v>
      </c>
      <c r="I3" s="2">
        <v>45794.124999988424</v>
      </c>
      <c r="J3">
        <v>213715.20568000001</v>
      </c>
      <c r="K3">
        <v>805</v>
      </c>
    </row>
    <row r="4" spans="1:11" x14ac:dyDescent="0.2">
      <c r="A4" s="1">
        <v>45794</v>
      </c>
      <c r="B4" t="s">
        <v>12</v>
      </c>
      <c r="C4" s="2">
        <v>45794.125</v>
      </c>
      <c r="D4">
        <v>167.46</v>
      </c>
      <c r="E4">
        <v>169.87</v>
      </c>
      <c r="F4">
        <v>164.19</v>
      </c>
      <c r="G4">
        <v>165.83</v>
      </c>
      <c r="H4">
        <v>1554.6179999999999</v>
      </c>
      <c r="I4" s="2">
        <v>45795.124999988424</v>
      </c>
      <c r="J4">
        <v>258257.30789</v>
      </c>
      <c r="K4">
        <v>817</v>
      </c>
    </row>
    <row r="5" spans="1:11" x14ac:dyDescent="0.2">
      <c r="A5" s="1">
        <v>45795</v>
      </c>
      <c r="B5" t="s">
        <v>12</v>
      </c>
      <c r="C5" s="2">
        <v>45795.125</v>
      </c>
      <c r="D5">
        <v>165.84</v>
      </c>
      <c r="E5">
        <v>176.68</v>
      </c>
      <c r="F5">
        <v>164.8</v>
      </c>
      <c r="G5">
        <v>173.44</v>
      </c>
      <c r="H5">
        <v>3765.4940000000001</v>
      </c>
      <c r="I5" s="2">
        <v>45796.124999988424</v>
      </c>
      <c r="J5">
        <v>643091.99106000003</v>
      </c>
      <c r="K5">
        <v>1438</v>
      </c>
    </row>
    <row r="6" spans="1:11" x14ac:dyDescent="0.2">
      <c r="A6" s="1">
        <v>45796</v>
      </c>
      <c r="B6" t="s">
        <v>12</v>
      </c>
      <c r="C6" s="2">
        <v>45796.125</v>
      </c>
      <c r="D6">
        <v>172.99</v>
      </c>
      <c r="E6">
        <v>173.6</v>
      </c>
      <c r="F6">
        <v>159.65</v>
      </c>
      <c r="G6">
        <v>166.76</v>
      </c>
      <c r="H6">
        <v>2249.4250000000002</v>
      </c>
      <c r="I6" s="2">
        <v>45797.124999988424</v>
      </c>
      <c r="J6">
        <v>369654.77302000002</v>
      </c>
      <c r="K6">
        <v>1086</v>
      </c>
    </row>
    <row r="7" spans="1:11" x14ac:dyDescent="0.2">
      <c r="A7" s="1">
        <v>45797</v>
      </c>
      <c r="B7" t="s">
        <v>12</v>
      </c>
      <c r="C7" s="2">
        <v>45797.125</v>
      </c>
      <c r="D7">
        <v>166.77</v>
      </c>
      <c r="E7">
        <v>172.88</v>
      </c>
      <c r="F7">
        <v>164.66</v>
      </c>
      <c r="G7">
        <v>168.65</v>
      </c>
      <c r="H7">
        <v>4017.348</v>
      </c>
      <c r="I7" s="2">
        <v>45798.124999988424</v>
      </c>
      <c r="J7">
        <v>677963.19455000001</v>
      </c>
      <c r="K7">
        <v>960</v>
      </c>
    </row>
    <row r="8" spans="1:11" x14ac:dyDescent="0.2">
      <c r="A8" s="1">
        <v>45798</v>
      </c>
      <c r="B8" t="s">
        <v>12</v>
      </c>
      <c r="C8" s="2">
        <v>45798.125</v>
      </c>
      <c r="D8">
        <v>168.47</v>
      </c>
      <c r="E8">
        <v>175.55</v>
      </c>
      <c r="F8">
        <v>165.78</v>
      </c>
      <c r="G8">
        <v>173.99</v>
      </c>
      <c r="H8">
        <v>2678.4810000000002</v>
      </c>
      <c r="I8" s="2">
        <v>45799.124999988424</v>
      </c>
      <c r="J8">
        <v>459295.48791999999</v>
      </c>
      <c r="K8">
        <v>1444</v>
      </c>
    </row>
    <row r="9" spans="1:11" x14ac:dyDescent="0.2">
      <c r="A9" s="1">
        <v>45799</v>
      </c>
      <c r="B9" t="s">
        <v>12</v>
      </c>
      <c r="C9" s="2">
        <v>45799.125</v>
      </c>
      <c r="D9">
        <v>173.44</v>
      </c>
      <c r="E9">
        <v>180.58</v>
      </c>
      <c r="F9">
        <v>172.72</v>
      </c>
      <c r="G9">
        <v>179.76</v>
      </c>
      <c r="H9">
        <v>4086.0540000000001</v>
      </c>
      <c r="I9" s="2">
        <v>45800.124999988424</v>
      </c>
      <c r="J9">
        <v>724928.58356000006</v>
      </c>
      <c r="K9">
        <v>1382</v>
      </c>
    </row>
    <row r="10" spans="1:11" x14ac:dyDescent="0.2">
      <c r="A10" s="1">
        <v>45800</v>
      </c>
      <c r="B10" t="s">
        <v>12</v>
      </c>
      <c r="C10" s="2">
        <v>45800.125</v>
      </c>
      <c r="D10">
        <v>179.73</v>
      </c>
      <c r="E10">
        <v>187.51</v>
      </c>
      <c r="F10">
        <v>173.48</v>
      </c>
      <c r="G10">
        <v>174.69</v>
      </c>
      <c r="H10">
        <v>5529.8860000000004</v>
      </c>
      <c r="I10" s="2">
        <v>45801.124999988424</v>
      </c>
      <c r="J10">
        <v>999928.04478999996</v>
      </c>
      <c r="K10">
        <v>2615</v>
      </c>
    </row>
    <row r="11" spans="1:11" x14ac:dyDescent="0.2">
      <c r="A11" s="1">
        <v>45801</v>
      </c>
      <c r="B11" t="s">
        <v>12</v>
      </c>
      <c r="C11" s="2">
        <v>45801.125</v>
      </c>
      <c r="D11">
        <v>174.45</v>
      </c>
      <c r="E11">
        <v>178.25</v>
      </c>
      <c r="F11">
        <v>172.69</v>
      </c>
      <c r="G11">
        <v>175.97</v>
      </c>
      <c r="H11">
        <v>1061.7760000000001</v>
      </c>
      <c r="I11" s="2">
        <v>45802.124999988424</v>
      </c>
      <c r="J11">
        <v>185883.00104</v>
      </c>
      <c r="K11">
        <v>540</v>
      </c>
    </row>
    <row r="12" spans="1:11" x14ac:dyDescent="0.2">
      <c r="A12" s="1">
        <v>45802</v>
      </c>
      <c r="B12" t="s">
        <v>12</v>
      </c>
      <c r="C12" s="2">
        <v>45802.125</v>
      </c>
      <c r="D12">
        <v>176.16</v>
      </c>
      <c r="E12">
        <v>176.78</v>
      </c>
      <c r="F12">
        <v>169.07</v>
      </c>
      <c r="G12">
        <v>175.76</v>
      </c>
      <c r="H12">
        <v>3783.4630000000002</v>
      </c>
      <c r="I12" s="2">
        <v>45803.124999988424</v>
      </c>
      <c r="J12">
        <v>651349.70022999996</v>
      </c>
      <c r="K12">
        <v>721</v>
      </c>
    </row>
    <row r="13" spans="1:11" x14ac:dyDescent="0.2">
      <c r="A13" s="1">
        <v>45803</v>
      </c>
      <c r="B13" t="s">
        <v>12</v>
      </c>
      <c r="C13" s="2">
        <v>45803.125</v>
      </c>
      <c r="D13">
        <v>175.77</v>
      </c>
      <c r="E13">
        <v>178.89</v>
      </c>
      <c r="F13">
        <v>173.56</v>
      </c>
      <c r="G13">
        <v>174.79</v>
      </c>
      <c r="H13">
        <v>2235.616</v>
      </c>
      <c r="I13" s="2">
        <v>45804.124999988424</v>
      </c>
      <c r="J13">
        <v>395558.06657000002</v>
      </c>
      <c r="K13">
        <v>666</v>
      </c>
    </row>
    <row r="14" spans="1:11" x14ac:dyDescent="0.2">
      <c r="A14" s="1">
        <v>45804</v>
      </c>
      <c r="B14" t="s">
        <v>12</v>
      </c>
      <c r="C14" s="2">
        <v>45804.125</v>
      </c>
      <c r="D14">
        <v>174.89</v>
      </c>
      <c r="E14">
        <v>179.19</v>
      </c>
      <c r="F14">
        <v>171.46</v>
      </c>
      <c r="G14">
        <v>176.75</v>
      </c>
      <c r="H14">
        <v>2737.4870000000001</v>
      </c>
      <c r="I14" s="2">
        <v>45805.124999988424</v>
      </c>
      <c r="J14">
        <v>483191.82270000002</v>
      </c>
      <c r="K14">
        <v>925</v>
      </c>
    </row>
    <row r="15" spans="1:11" x14ac:dyDescent="0.2">
      <c r="A15" s="1">
        <v>45805</v>
      </c>
      <c r="B15" t="s">
        <v>12</v>
      </c>
      <c r="C15" s="2">
        <v>45805.125</v>
      </c>
      <c r="D15">
        <v>176.71</v>
      </c>
      <c r="E15">
        <v>177.44</v>
      </c>
      <c r="F15">
        <v>169.05</v>
      </c>
      <c r="G15">
        <v>172.35</v>
      </c>
      <c r="H15">
        <v>2086.0349999999999</v>
      </c>
      <c r="I15" s="2">
        <v>45806.124999988424</v>
      </c>
      <c r="J15">
        <v>357521.72155000002</v>
      </c>
      <c r="K15">
        <v>729</v>
      </c>
    </row>
    <row r="16" spans="1:11" x14ac:dyDescent="0.2">
      <c r="A16" s="1">
        <v>45806</v>
      </c>
      <c r="B16" t="s">
        <v>12</v>
      </c>
      <c r="C16" s="2">
        <v>45806.125</v>
      </c>
      <c r="D16">
        <v>171.73</v>
      </c>
      <c r="E16">
        <v>175.23</v>
      </c>
      <c r="F16">
        <v>166.16</v>
      </c>
      <c r="G16">
        <v>166.32</v>
      </c>
      <c r="H16">
        <v>2865.8829999999998</v>
      </c>
      <c r="I16" s="2">
        <v>45807.124999988424</v>
      </c>
      <c r="J16">
        <v>490204.63874999998</v>
      </c>
      <c r="K16">
        <v>885</v>
      </c>
    </row>
    <row r="17" spans="1:11" x14ac:dyDescent="0.2">
      <c r="A17" s="1">
        <v>45807</v>
      </c>
      <c r="B17" t="s">
        <v>12</v>
      </c>
      <c r="C17" s="2">
        <v>45807.125</v>
      </c>
      <c r="D17">
        <v>166.86</v>
      </c>
      <c r="E17">
        <v>167.36</v>
      </c>
      <c r="F17">
        <v>155.41</v>
      </c>
      <c r="G17">
        <v>156</v>
      </c>
      <c r="H17">
        <v>3063.3850000000002</v>
      </c>
      <c r="I17" s="2">
        <v>45808.124999988424</v>
      </c>
      <c r="J17">
        <v>494660.99208</v>
      </c>
      <c r="K17">
        <v>1211</v>
      </c>
    </row>
    <row r="18" spans="1:11" x14ac:dyDescent="0.2">
      <c r="A18" s="1">
        <v>45808</v>
      </c>
      <c r="B18" t="s">
        <v>12</v>
      </c>
      <c r="C18" s="2">
        <v>45808.125</v>
      </c>
      <c r="D18">
        <v>156.07</v>
      </c>
      <c r="E18">
        <v>157.88999999999999</v>
      </c>
      <c r="F18">
        <v>148</v>
      </c>
      <c r="G18">
        <v>156.62</v>
      </c>
      <c r="H18">
        <v>2273.8330000000001</v>
      </c>
      <c r="I18" s="2">
        <v>45809.124999988424</v>
      </c>
      <c r="J18">
        <v>349806.65172000002</v>
      </c>
      <c r="K18">
        <v>929</v>
      </c>
    </row>
    <row r="19" spans="1:11" x14ac:dyDescent="0.2">
      <c r="A19" s="1">
        <v>45809</v>
      </c>
      <c r="B19" t="s">
        <v>12</v>
      </c>
      <c r="C19" s="2">
        <v>45809.125</v>
      </c>
      <c r="D19">
        <v>156.49</v>
      </c>
      <c r="E19">
        <v>157.87</v>
      </c>
      <c r="F19">
        <v>150.75</v>
      </c>
      <c r="G19">
        <v>157.71</v>
      </c>
      <c r="H19">
        <v>1402.1379999999999</v>
      </c>
      <c r="I19" s="2">
        <v>45810.124999988424</v>
      </c>
      <c r="J19">
        <v>216915.14158</v>
      </c>
      <c r="K19">
        <v>701</v>
      </c>
    </row>
    <row r="20" spans="1:11" x14ac:dyDescent="0.2">
      <c r="A20" s="1">
        <v>45810</v>
      </c>
      <c r="B20" t="s">
        <v>12</v>
      </c>
      <c r="C20" s="2">
        <v>45810.125</v>
      </c>
      <c r="D20">
        <v>157.74</v>
      </c>
      <c r="E20">
        <v>158.76</v>
      </c>
      <c r="F20">
        <v>151.9</v>
      </c>
      <c r="G20">
        <v>157.05000000000001</v>
      </c>
      <c r="H20">
        <v>1019.259</v>
      </c>
      <c r="I20" s="2">
        <v>45811.124999988424</v>
      </c>
      <c r="J20">
        <v>158327.25219999999</v>
      </c>
      <c r="K20">
        <v>545</v>
      </c>
    </row>
    <row r="21" spans="1:11" x14ac:dyDescent="0.2">
      <c r="A21" s="1">
        <v>45811</v>
      </c>
      <c r="B21" t="s">
        <v>12</v>
      </c>
      <c r="C21" s="2">
        <v>45811.125</v>
      </c>
      <c r="D21">
        <v>156.66999999999999</v>
      </c>
      <c r="E21">
        <v>163.41</v>
      </c>
      <c r="F21">
        <v>154.34</v>
      </c>
      <c r="G21">
        <v>155.33000000000001</v>
      </c>
      <c r="H21">
        <v>1661.5340000000001</v>
      </c>
      <c r="I21" s="2">
        <v>45812.124999988424</v>
      </c>
      <c r="J21">
        <v>264994.21886999998</v>
      </c>
      <c r="K21">
        <v>1021</v>
      </c>
    </row>
    <row r="22" spans="1:11" x14ac:dyDescent="0.2">
      <c r="A22" s="1">
        <v>45812</v>
      </c>
      <c r="B22" t="s">
        <v>12</v>
      </c>
      <c r="C22" s="2">
        <v>45812.125</v>
      </c>
      <c r="D22">
        <v>155.21</v>
      </c>
      <c r="E22">
        <v>157.77000000000001</v>
      </c>
      <c r="F22">
        <v>152.99</v>
      </c>
      <c r="G22">
        <v>153.43</v>
      </c>
      <c r="H22">
        <v>1409.2470000000001</v>
      </c>
      <c r="I22" s="2">
        <v>45813.124999988424</v>
      </c>
      <c r="J22">
        <v>217986.85735999999</v>
      </c>
      <c r="K22">
        <v>542</v>
      </c>
    </row>
    <row r="23" spans="1:11" x14ac:dyDescent="0.2">
      <c r="A23" s="1">
        <v>45813</v>
      </c>
      <c r="B23" t="s">
        <v>12</v>
      </c>
      <c r="C23" s="2">
        <v>45813.125</v>
      </c>
      <c r="D23">
        <v>153.36000000000001</v>
      </c>
      <c r="E23">
        <v>154.33000000000001</v>
      </c>
      <c r="F23">
        <v>141.69</v>
      </c>
      <c r="G23">
        <v>144.52000000000001</v>
      </c>
      <c r="H23">
        <v>2892.3829999999998</v>
      </c>
      <c r="I23" s="2">
        <v>45814.124999988424</v>
      </c>
      <c r="J23">
        <v>429077.92452</v>
      </c>
      <c r="K23">
        <v>1118</v>
      </c>
    </row>
    <row r="24" spans="1:11" x14ac:dyDescent="0.2">
      <c r="A24" s="1">
        <v>45814</v>
      </c>
      <c r="B24" t="s">
        <v>12</v>
      </c>
      <c r="C24" s="2">
        <v>45814.125</v>
      </c>
      <c r="D24">
        <v>144.53</v>
      </c>
      <c r="E24">
        <v>152.28</v>
      </c>
      <c r="F24">
        <v>144.41</v>
      </c>
      <c r="G24">
        <v>147.79</v>
      </c>
      <c r="H24">
        <v>1083.1110000000001</v>
      </c>
      <c r="I24" s="2">
        <v>45815.124999988424</v>
      </c>
      <c r="J24">
        <v>160626.2782</v>
      </c>
      <c r="K24">
        <v>762</v>
      </c>
    </row>
    <row r="25" spans="1:11" x14ac:dyDescent="0.2">
      <c r="A25" s="1">
        <v>45815</v>
      </c>
      <c r="B25" t="s">
        <v>12</v>
      </c>
      <c r="C25" s="2">
        <v>45815.125</v>
      </c>
      <c r="D25">
        <v>147.79</v>
      </c>
      <c r="E25">
        <v>152.52000000000001</v>
      </c>
      <c r="F25">
        <v>147.01</v>
      </c>
      <c r="G25">
        <v>149.94</v>
      </c>
      <c r="H25">
        <v>851.85900000000004</v>
      </c>
      <c r="I25" s="2">
        <v>45816.124999988424</v>
      </c>
      <c r="J25">
        <v>127975.88416</v>
      </c>
      <c r="K25">
        <v>452</v>
      </c>
    </row>
    <row r="26" spans="1:11" x14ac:dyDescent="0.2">
      <c r="A26" s="1">
        <v>45816</v>
      </c>
      <c r="B26" t="s">
        <v>12</v>
      </c>
      <c r="C26" s="2">
        <v>45816.125</v>
      </c>
      <c r="D26">
        <v>149.86000000000001</v>
      </c>
      <c r="E26">
        <v>155.1</v>
      </c>
      <c r="F26">
        <v>148.13</v>
      </c>
      <c r="G26">
        <v>152.5</v>
      </c>
      <c r="H26">
        <v>757.5</v>
      </c>
      <c r="I26" s="2">
        <v>45817.124999988424</v>
      </c>
      <c r="J26">
        <v>115293.33783999999</v>
      </c>
      <c r="K26">
        <v>631</v>
      </c>
    </row>
    <row r="27" spans="1:11" x14ac:dyDescent="0.2">
      <c r="A27" s="1">
        <v>45817</v>
      </c>
      <c r="B27" t="s">
        <v>12</v>
      </c>
      <c r="C27" s="2">
        <v>45817.125</v>
      </c>
      <c r="D27">
        <v>152.5</v>
      </c>
      <c r="E27">
        <v>161.49</v>
      </c>
      <c r="F27">
        <v>149.49</v>
      </c>
      <c r="G27">
        <v>160.99</v>
      </c>
      <c r="H27">
        <v>2555.239</v>
      </c>
      <c r="I27" s="2">
        <v>45818.124999988424</v>
      </c>
      <c r="J27">
        <v>399067.43672</v>
      </c>
      <c r="K27">
        <v>1217</v>
      </c>
    </row>
    <row r="28" spans="1:11" x14ac:dyDescent="0.2">
      <c r="A28" s="1">
        <v>45818</v>
      </c>
      <c r="B28" t="s">
        <v>12</v>
      </c>
      <c r="C28" s="2">
        <v>45818.125</v>
      </c>
      <c r="D28">
        <v>161</v>
      </c>
      <c r="E28">
        <v>165.53</v>
      </c>
      <c r="F28">
        <v>156.53</v>
      </c>
      <c r="G28">
        <v>164.92</v>
      </c>
      <c r="H28">
        <v>1720.133</v>
      </c>
      <c r="I28" s="2">
        <v>45819.124999988424</v>
      </c>
      <c r="J28">
        <v>278298.96853999997</v>
      </c>
      <c r="K28">
        <v>1239</v>
      </c>
    </row>
    <row r="29" spans="1:11" x14ac:dyDescent="0.2">
      <c r="A29" s="1">
        <v>45819</v>
      </c>
      <c r="B29" t="s">
        <v>12</v>
      </c>
      <c r="C29" s="2">
        <v>45819.125</v>
      </c>
      <c r="D29">
        <v>165.12</v>
      </c>
      <c r="E29">
        <v>168.36</v>
      </c>
      <c r="F29">
        <v>159.30000000000001</v>
      </c>
      <c r="G29">
        <v>161.07</v>
      </c>
      <c r="H29">
        <v>3111.4270000000001</v>
      </c>
      <c r="I29" s="2">
        <v>45820.124999988424</v>
      </c>
      <c r="J29">
        <v>510387.12599999999</v>
      </c>
      <c r="K29">
        <v>1381</v>
      </c>
    </row>
    <row r="30" spans="1:11" x14ac:dyDescent="0.2">
      <c r="A30" s="1">
        <v>45820</v>
      </c>
      <c r="B30" t="s">
        <v>12</v>
      </c>
      <c r="C30" s="2">
        <v>45820.125</v>
      </c>
      <c r="D30">
        <v>160.85</v>
      </c>
      <c r="E30">
        <v>161.30000000000001</v>
      </c>
      <c r="F30">
        <v>152.22</v>
      </c>
      <c r="G30">
        <v>152.63</v>
      </c>
      <c r="H30">
        <v>2445.1219999999998</v>
      </c>
      <c r="I30" s="2">
        <v>45821.124999988424</v>
      </c>
      <c r="J30">
        <v>385275.57741999999</v>
      </c>
      <c r="K30">
        <v>804</v>
      </c>
    </row>
    <row r="31" spans="1:11" x14ac:dyDescent="0.2">
      <c r="A31" s="1">
        <v>45821</v>
      </c>
      <c r="B31" t="s">
        <v>12</v>
      </c>
      <c r="C31" s="2">
        <v>45821.125</v>
      </c>
      <c r="D31">
        <v>152.57</v>
      </c>
      <c r="E31">
        <v>152.57</v>
      </c>
      <c r="F31">
        <v>141.08000000000001</v>
      </c>
      <c r="G31">
        <v>148.55000000000001</v>
      </c>
      <c r="H31">
        <v>10152.235000000001</v>
      </c>
      <c r="I31" s="2">
        <v>45822.124999988424</v>
      </c>
      <c r="J31">
        <v>1486136.7107500001</v>
      </c>
      <c r="K31">
        <v>1635</v>
      </c>
    </row>
    <row r="32" spans="1:11" x14ac:dyDescent="0.2">
      <c r="A32" s="1">
        <v>45822</v>
      </c>
      <c r="B32" t="s">
        <v>12</v>
      </c>
      <c r="C32" s="2">
        <v>45822.125</v>
      </c>
      <c r="D32">
        <v>148.38999999999999</v>
      </c>
      <c r="E32">
        <v>148.71</v>
      </c>
      <c r="F32">
        <v>142.13999999999999</v>
      </c>
      <c r="G32">
        <v>144.78</v>
      </c>
      <c r="H32">
        <v>8044.1009999999997</v>
      </c>
      <c r="I32" s="2">
        <v>45823.124999988424</v>
      </c>
      <c r="J32">
        <v>1172202.0831800001</v>
      </c>
      <c r="K32">
        <v>606</v>
      </c>
    </row>
    <row r="33" spans="1:11" x14ac:dyDescent="0.2">
      <c r="A33" s="1">
        <v>45823</v>
      </c>
      <c r="B33" t="s">
        <v>12</v>
      </c>
      <c r="C33" s="2">
        <v>45823.125</v>
      </c>
      <c r="D33">
        <v>144.88</v>
      </c>
      <c r="E33">
        <v>153.38</v>
      </c>
      <c r="F33">
        <v>144.41999999999999</v>
      </c>
      <c r="G33">
        <v>152.77000000000001</v>
      </c>
      <c r="H33">
        <v>1743.8050000000001</v>
      </c>
      <c r="I33" s="2">
        <v>45824.124999988424</v>
      </c>
      <c r="J33">
        <v>262157.19374999998</v>
      </c>
      <c r="K33">
        <v>733</v>
      </c>
    </row>
    <row r="34" spans="1:11" x14ac:dyDescent="0.2">
      <c r="A34" s="1">
        <v>45824</v>
      </c>
      <c r="B34" t="s">
        <v>12</v>
      </c>
      <c r="C34" s="2">
        <v>45824.125</v>
      </c>
      <c r="D34">
        <v>152.79</v>
      </c>
      <c r="E34">
        <v>158.69999999999999</v>
      </c>
      <c r="F34">
        <v>150.47999999999999</v>
      </c>
      <c r="G34">
        <v>150.47999999999999</v>
      </c>
      <c r="H34">
        <v>1846.154</v>
      </c>
      <c r="I34" s="2">
        <v>45825.124999988424</v>
      </c>
      <c r="J34">
        <v>286607.46545999998</v>
      </c>
      <c r="K34">
        <v>954</v>
      </c>
    </row>
    <row r="35" spans="1:11" x14ac:dyDescent="0.2">
      <c r="A35" s="1">
        <v>45825</v>
      </c>
      <c r="B35" t="s">
        <v>12</v>
      </c>
      <c r="C35" s="2">
        <v>45825.125</v>
      </c>
      <c r="D35">
        <v>150.68</v>
      </c>
      <c r="E35">
        <v>154.09</v>
      </c>
      <c r="F35">
        <v>145.82</v>
      </c>
      <c r="G35">
        <v>147.88</v>
      </c>
      <c r="H35">
        <v>2952.9520000000002</v>
      </c>
      <c r="I35" s="2">
        <v>45826.124999988424</v>
      </c>
      <c r="J35">
        <v>445004.61686000001</v>
      </c>
      <c r="K35">
        <v>750</v>
      </c>
    </row>
    <row r="36" spans="1:11" x14ac:dyDescent="0.2">
      <c r="A36" s="1">
        <v>45826</v>
      </c>
      <c r="B36" t="s">
        <v>12</v>
      </c>
      <c r="C36" s="2">
        <v>45826.125</v>
      </c>
      <c r="D36">
        <v>147.44999999999999</v>
      </c>
      <c r="E36">
        <v>149.11000000000001</v>
      </c>
      <c r="F36">
        <v>143.85</v>
      </c>
      <c r="G36">
        <v>146.25</v>
      </c>
      <c r="H36">
        <v>3009.665</v>
      </c>
      <c r="I36" s="2">
        <v>45827.124999988424</v>
      </c>
      <c r="J36">
        <v>440678.38893999998</v>
      </c>
      <c r="K36">
        <v>554</v>
      </c>
    </row>
    <row r="37" spans="1:11" x14ac:dyDescent="0.2">
      <c r="A37" s="1">
        <v>45827</v>
      </c>
      <c r="B37" t="s">
        <v>12</v>
      </c>
      <c r="C37" s="2">
        <v>45827.125</v>
      </c>
      <c r="D37">
        <v>146.44</v>
      </c>
      <c r="E37">
        <v>147.74</v>
      </c>
      <c r="F37">
        <v>143.18</v>
      </c>
      <c r="G37">
        <v>147.06</v>
      </c>
      <c r="H37">
        <v>1103.143</v>
      </c>
      <c r="I37" s="2">
        <v>45828.124999988424</v>
      </c>
      <c r="J37">
        <v>160551.04073000001</v>
      </c>
      <c r="K37">
        <v>456</v>
      </c>
    </row>
    <row r="38" spans="1:11" x14ac:dyDescent="0.2">
      <c r="A38" s="1">
        <v>45828</v>
      </c>
      <c r="B38" t="s">
        <v>12</v>
      </c>
      <c r="C38" s="2">
        <v>45828.125</v>
      </c>
      <c r="D38">
        <v>147.43</v>
      </c>
      <c r="E38">
        <v>148.71</v>
      </c>
      <c r="F38">
        <v>135.88999999999999</v>
      </c>
      <c r="G38">
        <v>140.19</v>
      </c>
      <c r="H38">
        <v>6585.1980000000003</v>
      </c>
      <c r="I38" s="2">
        <v>45829.124999988424</v>
      </c>
      <c r="J38">
        <v>944952.22180000006</v>
      </c>
      <c r="K38">
        <v>1089</v>
      </c>
    </row>
    <row r="39" spans="1:11" x14ac:dyDescent="0.2">
      <c r="A39" s="1">
        <v>45829</v>
      </c>
      <c r="B39" t="s">
        <v>12</v>
      </c>
      <c r="C39" s="2">
        <v>45829.125</v>
      </c>
      <c r="D39">
        <v>140.1</v>
      </c>
      <c r="E39">
        <v>142.49</v>
      </c>
      <c r="F39">
        <v>131.12</v>
      </c>
      <c r="G39">
        <v>135.44999999999999</v>
      </c>
      <c r="H39">
        <v>1700.078</v>
      </c>
      <c r="I39" s="2">
        <v>45830.124999988424</v>
      </c>
      <c r="J39">
        <v>232984.71513</v>
      </c>
      <c r="K39">
        <v>696</v>
      </c>
    </row>
    <row r="40" spans="1:11" x14ac:dyDescent="0.2">
      <c r="A40" s="1">
        <v>45830</v>
      </c>
      <c r="B40" t="s">
        <v>12</v>
      </c>
      <c r="C40" s="2">
        <v>45830.125</v>
      </c>
      <c r="D40">
        <v>135.47999999999999</v>
      </c>
      <c r="E40">
        <v>137.41999999999999</v>
      </c>
      <c r="F40">
        <v>126.26</v>
      </c>
      <c r="G40">
        <v>131.56</v>
      </c>
      <c r="H40">
        <v>4554.1660000000002</v>
      </c>
      <c r="I40" s="2">
        <v>45831.124999988424</v>
      </c>
      <c r="J40">
        <v>596427.94421999995</v>
      </c>
      <c r="K40">
        <v>1104</v>
      </c>
    </row>
    <row r="41" spans="1:11" x14ac:dyDescent="0.2">
      <c r="A41" s="1">
        <v>45831</v>
      </c>
      <c r="B41" t="s">
        <v>12</v>
      </c>
      <c r="C41" s="2">
        <v>45831.125</v>
      </c>
      <c r="D41">
        <v>131.63999999999999</v>
      </c>
      <c r="E41">
        <v>146.61000000000001</v>
      </c>
      <c r="F41">
        <v>130.85</v>
      </c>
      <c r="G41">
        <v>144.5</v>
      </c>
      <c r="H41">
        <v>4480.3860000000004</v>
      </c>
      <c r="I41" s="2">
        <v>45832.124999988424</v>
      </c>
      <c r="J41">
        <v>626769.12994000001</v>
      </c>
      <c r="K41">
        <v>1158</v>
      </c>
    </row>
    <row r="42" spans="1:11" x14ac:dyDescent="0.2">
      <c r="A42" s="1">
        <v>45832</v>
      </c>
      <c r="B42" t="s">
        <v>12</v>
      </c>
      <c r="C42" s="2">
        <v>45832.125</v>
      </c>
      <c r="D42">
        <v>144.41999999999999</v>
      </c>
      <c r="E42">
        <v>146.52000000000001</v>
      </c>
      <c r="F42">
        <v>142.51</v>
      </c>
      <c r="G42">
        <v>145.78</v>
      </c>
      <c r="H42">
        <v>2081.9810000000002</v>
      </c>
      <c r="I42" s="2">
        <v>45833.124999988424</v>
      </c>
      <c r="J42">
        <v>300379.28577999998</v>
      </c>
      <c r="K42">
        <v>642</v>
      </c>
    </row>
    <row r="43" spans="1:11" x14ac:dyDescent="0.2">
      <c r="A43" s="1">
        <v>45833</v>
      </c>
      <c r="B43" t="s">
        <v>12</v>
      </c>
      <c r="C43" s="2">
        <v>45833.125</v>
      </c>
      <c r="D43">
        <v>145.78</v>
      </c>
      <c r="E43">
        <v>147.85</v>
      </c>
      <c r="F43">
        <v>142.37</v>
      </c>
      <c r="G43">
        <v>143.41999999999999</v>
      </c>
      <c r="H43">
        <v>3684.029</v>
      </c>
      <c r="I43" s="2">
        <v>45834.124999988424</v>
      </c>
      <c r="J43">
        <v>533821.21687</v>
      </c>
      <c r="K43">
        <v>864</v>
      </c>
    </row>
    <row r="44" spans="1:11" x14ac:dyDescent="0.2">
      <c r="A44" s="1">
        <v>45834</v>
      </c>
      <c r="B44" t="s">
        <v>12</v>
      </c>
      <c r="C44" s="2">
        <v>45834.125</v>
      </c>
      <c r="D44">
        <v>143.41</v>
      </c>
      <c r="E44">
        <v>147.96</v>
      </c>
      <c r="F44">
        <v>138.88</v>
      </c>
      <c r="G44">
        <v>138.91</v>
      </c>
      <c r="H44">
        <v>1167.3589999999999</v>
      </c>
      <c r="I44" s="2">
        <v>45835.124999988424</v>
      </c>
      <c r="J44">
        <v>168107.01897999999</v>
      </c>
      <c r="K44">
        <v>723</v>
      </c>
    </row>
    <row r="45" spans="1:11" x14ac:dyDescent="0.2">
      <c r="A45" s="1">
        <v>45835</v>
      </c>
      <c r="B45" t="s">
        <v>12</v>
      </c>
      <c r="C45" s="2">
        <v>45835.125</v>
      </c>
      <c r="D45">
        <v>139.16999999999999</v>
      </c>
      <c r="E45">
        <v>144.66999999999999</v>
      </c>
      <c r="F45">
        <v>137.26</v>
      </c>
      <c r="G45">
        <v>142.19999999999999</v>
      </c>
      <c r="H45">
        <v>946.24900000000002</v>
      </c>
      <c r="I45" s="2">
        <v>45836.124999988424</v>
      </c>
      <c r="J45">
        <v>133469.64103</v>
      </c>
      <c r="K45">
        <v>643</v>
      </c>
    </row>
    <row r="46" spans="1:11" x14ac:dyDescent="0.2">
      <c r="A46" s="1">
        <v>45836</v>
      </c>
      <c r="B46" t="s">
        <v>12</v>
      </c>
      <c r="C46" s="2">
        <v>45836.125</v>
      </c>
      <c r="D46">
        <v>141.9</v>
      </c>
      <c r="E46">
        <v>152.69</v>
      </c>
      <c r="F46">
        <v>141.34</v>
      </c>
      <c r="G46">
        <v>150.69999999999999</v>
      </c>
      <c r="H46">
        <v>1741.1210000000001</v>
      </c>
      <c r="I46" s="2">
        <v>45837.124999988424</v>
      </c>
      <c r="J46">
        <v>257218.77828999999</v>
      </c>
      <c r="K46">
        <v>991</v>
      </c>
    </row>
    <row r="47" spans="1:11" x14ac:dyDescent="0.2">
      <c r="A47" s="1">
        <v>45837</v>
      </c>
      <c r="B47" t="s">
        <v>12</v>
      </c>
      <c r="C47" s="2">
        <v>45837.125</v>
      </c>
      <c r="D47">
        <v>150.69999999999999</v>
      </c>
      <c r="E47">
        <v>154.63999999999999</v>
      </c>
      <c r="F47">
        <v>149.5</v>
      </c>
      <c r="G47">
        <v>153.26</v>
      </c>
      <c r="H47">
        <v>1729.9090000000001</v>
      </c>
      <c r="I47" s="2">
        <v>45838.124999988424</v>
      </c>
      <c r="J47">
        <v>262525.62411999999</v>
      </c>
      <c r="K47">
        <v>537</v>
      </c>
    </row>
    <row r="48" spans="1:11" x14ac:dyDescent="0.2">
      <c r="A48" s="1">
        <v>45838</v>
      </c>
      <c r="B48" t="s">
        <v>12</v>
      </c>
      <c r="C48" s="2">
        <v>45838.125</v>
      </c>
      <c r="D48">
        <v>153.51</v>
      </c>
      <c r="E48">
        <v>159.88</v>
      </c>
      <c r="F48">
        <v>149.69999999999999</v>
      </c>
      <c r="G48">
        <v>154.81</v>
      </c>
      <c r="H48">
        <v>4775.1400000000003</v>
      </c>
      <c r="I48" s="2">
        <v>45839.124999988424</v>
      </c>
      <c r="J48">
        <v>740733.80914999999</v>
      </c>
      <c r="K48">
        <v>1109</v>
      </c>
    </row>
    <row r="49" spans="1:11" x14ac:dyDescent="0.2">
      <c r="A49" s="1">
        <v>45839</v>
      </c>
      <c r="B49" t="s">
        <v>12</v>
      </c>
      <c r="C49" s="2">
        <v>45839.125</v>
      </c>
      <c r="D49">
        <v>154.84</v>
      </c>
      <c r="E49">
        <v>155.32</v>
      </c>
      <c r="F49">
        <v>145.03</v>
      </c>
      <c r="G49">
        <v>146.91999999999999</v>
      </c>
      <c r="H49">
        <v>2092.7959999999998</v>
      </c>
      <c r="I49" s="2">
        <v>45840.124999988424</v>
      </c>
      <c r="J49">
        <v>311606.32754999999</v>
      </c>
      <c r="K49">
        <v>663</v>
      </c>
    </row>
    <row r="50" spans="1:11" x14ac:dyDescent="0.2">
      <c r="A50" s="1">
        <v>45840</v>
      </c>
      <c r="B50" t="s">
        <v>12</v>
      </c>
      <c r="C50" s="2">
        <v>45840.125</v>
      </c>
      <c r="D50">
        <v>146.91999999999999</v>
      </c>
      <c r="E50">
        <v>154.25</v>
      </c>
      <c r="F50">
        <v>145.91999999999999</v>
      </c>
      <c r="G50">
        <v>152.15</v>
      </c>
      <c r="H50">
        <v>3094.431</v>
      </c>
      <c r="I50" s="2">
        <v>45841.124999988424</v>
      </c>
      <c r="J50">
        <v>467325.36556000001</v>
      </c>
      <c r="K50">
        <v>804</v>
      </c>
    </row>
    <row r="51" spans="1:11" x14ac:dyDescent="0.2">
      <c r="A51" s="1">
        <v>45841</v>
      </c>
      <c r="B51" t="s">
        <v>12</v>
      </c>
      <c r="C51" s="2">
        <v>45841.125</v>
      </c>
      <c r="D51">
        <v>152.15</v>
      </c>
      <c r="E51">
        <v>156.11000000000001</v>
      </c>
      <c r="F51">
        <v>149.82</v>
      </c>
      <c r="G51">
        <v>152.66</v>
      </c>
      <c r="H51">
        <v>4154.4430000000002</v>
      </c>
      <c r="I51" s="2">
        <v>45842.124999988424</v>
      </c>
      <c r="J51">
        <v>635246.11661999999</v>
      </c>
      <c r="K51">
        <v>1070</v>
      </c>
    </row>
    <row r="52" spans="1:11" x14ac:dyDescent="0.2">
      <c r="A52" s="1">
        <v>45842</v>
      </c>
      <c r="B52" t="s">
        <v>12</v>
      </c>
      <c r="C52" s="2">
        <v>45842.125</v>
      </c>
      <c r="D52">
        <v>152.47999999999999</v>
      </c>
      <c r="E52">
        <v>153.72999999999999</v>
      </c>
      <c r="F52">
        <v>145</v>
      </c>
      <c r="G52">
        <v>147.49</v>
      </c>
      <c r="H52">
        <v>2795.8449999999998</v>
      </c>
      <c r="I52" s="2">
        <v>45843.124999988424</v>
      </c>
      <c r="J52">
        <v>417539.22607999999</v>
      </c>
      <c r="K52">
        <v>986</v>
      </c>
    </row>
    <row r="53" spans="1:11" x14ac:dyDescent="0.2">
      <c r="A53" s="1">
        <v>45843</v>
      </c>
      <c r="B53" t="s">
        <v>12</v>
      </c>
      <c r="C53" s="2">
        <v>45843.125</v>
      </c>
      <c r="D53">
        <v>148.12</v>
      </c>
      <c r="E53">
        <v>148.52000000000001</v>
      </c>
      <c r="F53">
        <v>146</v>
      </c>
      <c r="G53">
        <v>147.52000000000001</v>
      </c>
      <c r="H53">
        <v>681.89800000000002</v>
      </c>
      <c r="I53" s="2">
        <v>45844.124999988424</v>
      </c>
      <c r="J53">
        <v>100578.30981999999</v>
      </c>
      <c r="K53">
        <v>234</v>
      </c>
    </row>
    <row r="54" spans="1:11" x14ac:dyDescent="0.2">
      <c r="A54" s="1">
        <v>45844</v>
      </c>
      <c r="B54" t="s">
        <v>12</v>
      </c>
      <c r="C54" s="2">
        <v>45844.125</v>
      </c>
      <c r="D54">
        <v>147.38</v>
      </c>
      <c r="E54">
        <v>153.66999999999999</v>
      </c>
      <c r="F54">
        <v>146.97999999999999</v>
      </c>
      <c r="G54">
        <v>151.82</v>
      </c>
      <c r="H54">
        <v>1533.3409999999999</v>
      </c>
      <c r="I54" s="2">
        <v>45845.124999988424</v>
      </c>
      <c r="J54">
        <v>231864.76401000001</v>
      </c>
      <c r="K54">
        <v>528</v>
      </c>
    </row>
    <row r="55" spans="1:11" x14ac:dyDescent="0.2">
      <c r="A55" s="1">
        <v>45845</v>
      </c>
      <c r="B55" t="s">
        <v>12</v>
      </c>
      <c r="C55" s="2">
        <v>45845.125</v>
      </c>
      <c r="D55">
        <v>151.69</v>
      </c>
      <c r="E55">
        <v>153.43</v>
      </c>
      <c r="F55">
        <v>147.80000000000001</v>
      </c>
      <c r="G55">
        <v>148.97999999999999</v>
      </c>
      <c r="H55">
        <v>2083.5059999999999</v>
      </c>
      <c r="I55" s="2">
        <v>45846.124999988424</v>
      </c>
      <c r="J55">
        <v>314244.87838000001</v>
      </c>
      <c r="K55">
        <v>652</v>
      </c>
    </row>
    <row r="56" spans="1:11" x14ac:dyDescent="0.2">
      <c r="A56" s="1">
        <v>45846</v>
      </c>
      <c r="B56" t="s">
        <v>12</v>
      </c>
      <c r="C56" s="2">
        <v>45846.125</v>
      </c>
      <c r="D56">
        <v>148.91</v>
      </c>
      <c r="E56">
        <v>152.72999999999999</v>
      </c>
      <c r="F56">
        <v>147.96</v>
      </c>
      <c r="G56">
        <v>151.81</v>
      </c>
      <c r="H56">
        <v>1408.0050000000001</v>
      </c>
      <c r="I56" s="2">
        <v>45847.124999988424</v>
      </c>
      <c r="J56">
        <v>212297.02291</v>
      </c>
      <c r="K56">
        <v>544</v>
      </c>
    </row>
    <row r="57" spans="1:11" x14ac:dyDescent="0.2">
      <c r="A57" s="1">
        <v>45847</v>
      </c>
      <c r="B57" t="s">
        <v>12</v>
      </c>
      <c r="C57" s="2">
        <v>45847.125</v>
      </c>
      <c r="D57">
        <v>151.63</v>
      </c>
      <c r="E57">
        <v>157.9</v>
      </c>
      <c r="F57">
        <v>150.65</v>
      </c>
      <c r="G57">
        <v>157.02000000000001</v>
      </c>
      <c r="H57">
        <v>2617.933</v>
      </c>
      <c r="I57" s="2">
        <v>45848.124999988424</v>
      </c>
      <c r="J57">
        <v>405986.18845999998</v>
      </c>
      <c r="K57">
        <v>915</v>
      </c>
    </row>
    <row r="58" spans="1:11" x14ac:dyDescent="0.2">
      <c r="A58" s="1">
        <v>45848</v>
      </c>
      <c r="B58" t="s">
        <v>12</v>
      </c>
      <c r="C58" s="2">
        <v>45848.125</v>
      </c>
      <c r="D58">
        <v>157.36000000000001</v>
      </c>
      <c r="E58">
        <v>165.16</v>
      </c>
      <c r="F58">
        <v>155.81</v>
      </c>
      <c r="G58">
        <v>164.07</v>
      </c>
      <c r="H58">
        <v>4853.7830000000004</v>
      </c>
      <c r="I58" s="2">
        <v>45849.124999988424</v>
      </c>
      <c r="J58">
        <v>779850.33788999997</v>
      </c>
      <c r="K58">
        <v>1377</v>
      </c>
    </row>
    <row r="59" spans="1:11" x14ac:dyDescent="0.2">
      <c r="A59" s="1">
        <v>45849</v>
      </c>
      <c r="B59" t="s">
        <v>12</v>
      </c>
      <c r="C59" s="2">
        <v>45849.125</v>
      </c>
      <c r="D59">
        <v>164.35</v>
      </c>
      <c r="E59">
        <v>168</v>
      </c>
      <c r="F59">
        <v>159.71</v>
      </c>
      <c r="G59">
        <v>162.87</v>
      </c>
      <c r="H59">
        <v>2960.4929999999999</v>
      </c>
      <c r="I59" s="2">
        <v>45850.124999988424</v>
      </c>
      <c r="J59">
        <v>486969.10470000003</v>
      </c>
      <c r="K59">
        <v>1639</v>
      </c>
    </row>
    <row r="60" spans="1:11" x14ac:dyDescent="0.2">
      <c r="A60" s="1">
        <v>45850</v>
      </c>
      <c r="B60" t="s">
        <v>12</v>
      </c>
      <c r="C60" s="2">
        <v>45850.125</v>
      </c>
      <c r="D60">
        <v>162.88</v>
      </c>
      <c r="E60">
        <v>163.9</v>
      </c>
      <c r="F60">
        <v>157.88</v>
      </c>
      <c r="G60">
        <v>160.66</v>
      </c>
      <c r="H60">
        <v>1051.0989999999999</v>
      </c>
      <c r="I60" s="2">
        <v>45851.124999988424</v>
      </c>
      <c r="J60">
        <v>169421.82240999999</v>
      </c>
      <c r="K60">
        <v>622</v>
      </c>
    </row>
    <row r="61" spans="1:11" x14ac:dyDescent="0.2">
      <c r="A61" s="1">
        <v>45851</v>
      </c>
      <c r="B61" t="s">
        <v>12</v>
      </c>
      <c r="C61" s="2">
        <v>45851.125</v>
      </c>
      <c r="D61">
        <v>160.61000000000001</v>
      </c>
      <c r="E61">
        <v>163.98</v>
      </c>
      <c r="F61">
        <v>159.72999999999999</v>
      </c>
      <c r="G61">
        <v>161.41999999999999</v>
      </c>
      <c r="H61">
        <v>2059.9209999999998</v>
      </c>
      <c r="I61" s="2">
        <v>45852.124999988424</v>
      </c>
      <c r="J61">
        <v>333253.30975999997</v>
      </c>
      <c r="K61">
        <v>762</v>
      </c>
    </row>
    <row r="62" spans="1:11" x14ac:dyDescent="0.2">
      <c r="A62" s="1">
        <v>45852</v>
      </c>
      <c r="B62" t="s">
        <v>12</v>
      </c>
      <c r="C62" s="2">
        <v>45852.125</v>
      </c>
      <c r="D62">
        <v>161.21</v>
      </c>
      <c r="E62">
        <v>168.58</v>
      </c>
      <c r="F62">
        <v>160.63999999999999</v>
      </c>
      <c r="G62">
        <v>162.33000000000001</v>
      </c>
      <c r="H62">
        <v>2808.7570000000001</v>
      </c>
      <c r="I62" s="2">
        <v>45853.124999988424</v>
      </c>
      <c r="J62">
        <v>465492.12302</v>
      </c>
      <c r="K62">
        <v>1626</v>
      </c>
    </row>
    <row r="63" spans="1:11" x14ac:dyDescent="0.2">
      <c r="A63" s="1">
        <v>45853</v>
      </c>
      <c r="B63" t="s">
        <v>12</v>
      </c>
      <c r="C63" s="2">
        <v>45853.125</v>
      </c>
      <c r="D63">
        <v>162.12</v>
      </c>
      <c r="E63">
        <v>164.17</v>
      </c>
      <c r="F63">
        <v>157.36000000000001</v>
      </c>
      <c r="G63">
        <v>164.1</v>
      </c>
      <c r="H63">
        <v>2369.0940000000001</v>
      </c>
      <c r="I63" s="2">
        <v>45854.124999988424</v>
      </c>
      <c r="J63">
        <v>381089.48285999999</v>
      </c>
      <c r="K63">
        <v>1178</v>
      </c>
    </row>
    <row r="64" spans="1:11" x14ac:dyDescent="0.2">
      <c r="A64" s="1">
        <v>45854</v>
      </c>
      <c r="B64" t="s">
        <v>12</v>
      </c>
      <c r="C64" s="2">
        <v>45854.125</v>
      </c>
      <c r="D64">
        <v>164.11</v>
      </c>
      <c r="E64">
        <v>175.74</v>
      </c>
      <c r="F64">
        <v>161.63999999999999</v>
      </c>
      <c r="G64">
        <v>173.52</v>
      </c>
      <c r="H64">
        <v>6541.8969999999999</v>
      </c>
      <c r="I64" s="2">
        <v>45855.124999988424</v>
      </c>
      <c r="J64">
        <v>1113670.28578</v>
      </c>
      <c r="K64">
        <v>1973</v>
      </c>
    </row>
    <row r="65" spans="1:11" x14ac:dyDescent="0.2">
      <c r="A65" s="1">
        <v>45855</v>
      </c>
      <c r="B65" t="s">
        <v>12</v>
      </c>
      <c r="C65" s="2">
        <v>45855.125</v>
      </c>
      <c r="D65">
        <v>173.65</v>
      </c>
      <c r="E65">
        <v>178</v>
      </c>
      <c r="F65">
        <v>168.66</v>
      </c>
      <c r="G65">
        <v>175.56</v>
      </c>
      <c r="H65">
        <v>5270.3239999999996</v>
      </c>
      <c r="I65" s="2">
        <v>45856.124999988424</v>
      </c>
      <c r="J65">
        <v>914927.30867000006</v>
      </c>
      <c r="K65">
        <v>2206</v>
      </c>
    </row>
    <row r="66" spans="1:11" x14ac:dyDescent="0.2">
      <c r="A66" s="1">
        <v>45856</v>
      </c>
      <c r="B66" t="s">
        <v>12</v>
      </c>
      <c r="C66" s="2">
        <v>45856.125</v>
      </c>
      <c r="D66">
        <v>175.94</v>
      </c>
      <c r="E66">
        <v>184.08</v>
      </c>
      <c r="F66">
        <v>173.31</v>
      </c>
      <c r="G66">
        <v>177.13</v>
      </c>
      <c r="H66">
        <v>6254.1840000000002</v>
      </c>
      <c r="I66" s="2">
        <v>45857.124999988424</v>
      </c>
      <c r="J66">
        <v>1124731.5032500001</v>
      </c>
      <c r="K66">
        <v>2542</v>
      </c>
    </row>
    <row r="67" spans="1:11" x14ac:dyDescent="0.2">
      <c r="A67" s="1">
        <v>45857</v>
      </c>
      <c r="B67" t="s">
        <v>12</v>
      </c>
      <c r="C67" s="2">
        <v>45857.125</v>
      </c>
      <c r="D67">
        <v>177.32</v>
      </c>
      <c r="E67">
        <v>178.37</v>
      </c>
      <c r="F67">
        <v>174.21</v>
      </c>
      <c r="G67">
        <v>176.7</v>
      </c>
      <c r="H67">
        <v>1010.69</v>
      </c>
      <c r="I67" s="2">
        <v>45858.124999988424</v>
      </c>
      <c r="J67">
        <v>178459.74354</v>
      </c>
      <c r="K67">
        <v>675</v>
      </c>
    </row>
    <row r="68" spans="1:11" x14ac:dyDescent="0.2">
      <c r="A68" s="1">
        <v>45858</v>
      </c>
      <c r="B68" t="s">
        <v>12</v>
      </c>
      <c r="C68" s="2">
        <v>45858.125</v>
      </c>
      <c r="D68">
        <v>176.98</v>
      </c>
      <c r="E68">
        <v>183.44</v>
      </c>
      <c r="F68">
        <v>176.45</v>
      </c>
      <c r="G68">
        <v>181.46</v>
      </c>
      <c r="H68">
        <v>3255.7449999999999</v>
      </c>
      <c r="I68" s="2">
        <v>45859.124999988424</v>
      </c>
      <c r="J68">
        <v>589208.92643999995</v>
      </c>
      <c r="K68">
        <v>1308</v>
      </c>
    </row>
    <row r="69" spans="1:11" x14ac:dyDescent="0.2">
      <c r="A69" s="1">
        <v>45859</v>
      </c>
      <c r="B69" t="s">
        <v>12</v>
      </c>
      <c r="C69" s="2">
        <v>45859.125</v>
      </c>
      <c r="D69">
        <v>181.5</v>
      </c>
      <c r="E69">
        <v>199.16</v>
      </c>
      <c r="F69">
        <v>178.37</v>
      </c>
      <c r="G69">
        <v>195.73</v>
      </c>
      <c r="H69">
        <v>6878.7610000000004</v>
      </c>
      <c r="I69" s="2">
        <v>45860.124999988424</v>
      </c>
      <c r="J69">
        <v>1316610.5729100001</v>
      </c>
      <c r="K69">
        <v>3552</v>
      </c>
    </row>
    <row r="70" spans="1:11" x14ac:dyDescent="0.2">
      <c r="A70" s="1">
        <v>45860</v>
      </c>
      <c r="B70" t="s">
        <v>12</v>
      </c>
      <c r="C70" s="2">
        <v>45860.125</v>
      </c>
      <c r="D70">
        <v>196.3</v>
      </c>
      <c r="E70">
        <v>206.22</v>
      </c>
      <c r="F70">
        <v>193.9</v>
      </c>
      <c r="G70">
        <v>205.85</v>
      </c>
      <c r="H70">
        <v>7527.5929999999998</v>
      </c>
      <c r="I70" s="2">
        <v>45861.124999988424</v>
      </c>
      <c r="J70">
        <v>1510130.2611499999</v>
      </c>
      <c r="K70">
        <v>4147</v>
      </c>
    </row>
    <row r="71" spans="1:11" x14ac:dyDescent="0.2">
      <c r="A71" s="1">
        <v>45861</v>
      </c>
      <c r="B71" t="s">
        <v>12</v>
      </c>
      <c r="C71" s="2">
        <v>45861.125</v>
      </c>
      <c r="D71">
        <v>205.83</v>
      </c>
      <c r="E71">
        <v>205.83</v>
      </c>
      <c r="F71">
        <v>184.22</v>
      </c>
      <c r="G71">
        <v>189.16</v>
      </c>
      <c r="H71">
        <v>4438.1120000000001</v>
      </c>
      <c r="I71" s="2">
        <v>45862.124999988424</v>
      </c>
      <c r="J71">
        <v>853609.00272999995</v>
      </c>
      <c r="K71">
        <v>2351</v>
      </c>
    </row>
    <row r="72" spans="1:11" x14ac:dyDescent="0.2">
      <c r="A72" s="1">
        <v>45862</v>
      </c>
      <c r="B72" t="s">
        <v>12</v>
      </c>
      <c r="C72" s="2">
        <v>45862.125</v>
      </c>
      <c r="D72">
        <v>189.28</v>
      </c>
      <c r="E72">
        <v>207.61</v>
      </c>
      <c r="F72">
        <v>169.5</v>
      </c>
      <c r="G72">
        <v>182.79</v>
      </c>
      <c r="H72">
        <v>7487.3010000000004</v>
      </c>
      <c r="I72" s="2">
        <v>45863.124999988424</v>
      </c>
      <c r="J72">
        <v>1400413.8648900001</v>
      </c>
      <c r="K72">
        <v>4124</v>
      </c>
    </row>
    <row r="73" spans="1:11" x14ac:dyDescent="0.2">
      <c r="A73" s="1">
        <v>45863</v>
      </c>
      <c r="B73" t="s">
        <v>12</v>
      </c>
      <c r="C73" s="2">
        <v>45863.125</v>
      </c>
      <c r="D73">
        <v>182.77</v>
      </c>
      <c r="E73">
        <v>186.58</v>
      </c>
      <c r="F73">
        <v>176.02</v>
      </c>
      <c r="G73">
        <v>186.58</v>
      </c>
      <c r="H73">
        <v>2928.3119999999999</v>
      </c>
      <c r="I73" s="2">
        <v>45864.124999988424</v>
      </c>
      <c r="J73">
        <v>526407.79405000003</v>
      </c>
      <c r="K73">
        <v>1578</v>
      </c>
    </row>
    <row r="74" spans="1:11" x14ac:dyDescent="0.2">
      <c r="A74" s="1">
        <v>45864</v>
      </c>
      <c r="B74" t="s">
        <v>12</v>
      </c>
      <c r="C74" s="2">
        <v>45864.125</v>
      </c>
      <c r="D74">
        <v>186.62</v>
      </c>
      <c r="E74">
        <v>189.59</v>
      </c>
      <c r="F74">
        <v>184.39</v>
      </c>
      <c r="G74">
        <v>184.88</v>
      </c>
      <c r="H74">
        <v>1836.6669999999999</v>
      </c>
      <c r="I74" s="2">
        <v>45865.124999988424</v>
      </c>
      <c r="J74">
        <v>343261.00649</v>
      </c>
      <c r="K74">
        <v>984</v>
      </c>
    </row>
    <row r="75" spans="1:11" x14ac:dyDescent="0.2">
      <c r="A75" s="1">
        <v>45865</v>
      </c>
      <c r="B75" t="s">
        <v>12</v>
      </c>
      <c r="C75" s="2">
        <v>45865.125</v>
      </c>
      <c r="D75">
        <v>184.8</v>
      </c>
      <c r="E75">
        <v>190.41</v>
      </c>
      <c r="F75">
        <v>184.77</v>
      </c>
      <c r="G75">
        <v>188.56</v>
      </c>
      <c r="H75">
        <v>1559.54</v>
      </c>
      <c r="I75" s="2">
        <v>45866.124999988424</v>
      </c>
      <c r="J75">
        <v>292849.86781000003</v>
      </c>
      <c r="K75">
        <v>930</v>
      </c>
    </row>
    <row r="76" spans="1:11" x14ac:dyDescent="0.2">
      <c r="A76" s="1">
        <v>45866</v>
      </c>
      <c r="B76" t="s">
        <v>12</v>
      </c>
      <c r="C76" s="2">
        <v>45866.125</v>
      </c>
      <c r="D76">
        <v>188.51</v>
      </c>
      <c r="E76">
        <v>195.04</v>
      </c>
      <c r="F76">
        <v>182.39</v>
      </c>
      <c r="G76">
        <v>182.39</v>
      </c>
      <c r="H76">
        <v>4422.7629999999999</v>
      </c>
      <c r="I76" s="2">
        <v>45867.124999988424</v>
      </c>
      <c r="J76">
        <v>826560.55446999997</v>
      </c>
      <c r="K76">
        <v>1891</v>
      </c>
    </row>
    <row r="77" spans="1:11" x14ac:dyDescent="0.2">
      <c r="A77" s="1">
        <v>45867</v>
      </c>
      <c r="B77" t="s">
        <v>12</v>
      </c>
      <c r="C77" s="2">
        <v>45867.125</v>
      </c>
      <c r="D77">
        <v>183.01</v>
      </c>
      <c r="E77">
        <v>186.49</v>
      </c>
      <c r="F77">
        <v>178.52</v>
      </c>
      <c r="G77">
        <v>181.61</v>
      </c>
      <c r="H77">
        <v>2115.62</v>
      </c>
      <c r="I77" s="2">
        <v>45868.124999988424</v>
      </c>
      <c r="J77">
        <v>384955.55069</v>
      </c>
      <c r="K77">
        <v>951</v>
      </c>
    </row>
    <row r="78" spans="1:11" x14ac:dyDescent="0.2">
      <c r="A78" s="1">
        <v>45868</v>
      </c>
      <c r="B78" t="s">
        <v>12</v>
      </c>
      <c r="C78" s="2">
        <v>45868.125</v>
      </c>
      <c r="D78">
        <v>181.37</v>
      </c>
      <c r="E78">
        <v>182.46</v>
      </c>
      <c r="F78">
        <v>171</v>
      </c>
      <c r="G78">
        <v>177.69</v>
      </c>
      <c r="H78">
        <v>1919.9749999999999</v>
      </c>
      <c r="I78" s="2">
        <v>45869.124999988424</v>
      </c>
      <c r="J78">
        <v>340005.86025000003</v>
      </c>
      <c r="K78">
        <v>1205</v>
      </c>
    </row>
    <row r="79" spans="1:11" x14ac:dyDescent="0.2">
      <c r="A79" s="1">
        <v>45869</v>
      </c>
      <c r="B79" t="s">
        <v>12</v>
      </c>
      <c r="C79" s="2">
        <v>45869.125</v>
      </c>
      <c r="D79">
        <v>177.75</v>
      </c>
      <c r="E79">
        <v>182.53</v>
      </c>
      <c r="F79">
        <v>171.71</v>
      </c>
      <c r="G79">
        <v>172.28</v>
      </c>
      <c r="H79">
        <v>1509.5719999999999</v>
      </c>
      <c r="I79" s="2">
        <v>45870.124999988424</v>
      </c>
      <c r="J79">
        <v>268048.39132</v>
      </c>
      <c r="K79">
        <v>1198</v>
      </c>
    </row>
    <row r="80" spans="1:11" x14ac:dyDescent="0.2">
      <c r="A80" s="1">
        <v>45870</v>
      </c>
      <c r="B80" t="s">
        <v>12</v>
      </c>
      <c r="C80" s="2">
        <v>45870.125</v>
      </c>
      <c r="D80">
        <v>171.97</v>
      </c>
      <c r="E80">
        <v>172.2</v>
      </c>
      <c r="F80">
        <v>159.34</v>
      </c>
      <c r="G80">
        <v>163</v>
      </c>
      <c r="H80">
        <v>4564.6189999999997</v>
      </c>
      <c r="I80" s="2">
        <v>45871.124999988424</v>
      </c>
      <c r="J80">
        <v>759043.07154000003</v>
      </c>
      <c r="K80">
        <v>1619</v>
      </c>
    </row>
    <row r="81" spans="1:11" x14ac:dyDescent="0.2">
      <c r="A81" s="1">
        <v>45871</v>
      </c>
      <c r="B81" t="s">
        <v>12</v>
      </c>
      <c r="C81" s="2">
        <v>45871.125</v>
      </c>
      <c r="D81">
        <v>163.02000000000001</v>
      </c>
      <c r="E81">
        <v>165.24</v>
      </c>
      <c r="F81">
        <v>156.03</v>
      </c>
      <c r="G81">
        <v>158.59</v>
      </c>
      <c r="H81">
        <v>1754.18</v>
      </c>
      <c r="I81" s="2">
        <v>45872.124999988424</v>
      </c>
      <c r="J81">
        <v>283407.27233000001</v>
      </c>
      <c r="K81">
        <v>855</v>
      </c>
    </row>
    <row r="82" spans="1:11" x14ac:dyDescent="0.2">
      <c r="A82" s="1">
        <v>45872</v>
      </c>
      <c r="B82" t="s">
        <v>12</v>
      </c>
      <c r="C82" s="2">
        <v>45872.125</v>
      </c>
      <c r="D82">
        <v>158.69999999999999</v>
      </c>
      <c r="E82">
        <v>163.15</v>
      </c>
      <c r="F82">
        <v>156.53</v>
      </c>
      <c r="G82">
        <v>162.19999999999999</v>
      </c>
      <c r="H82">
        <v>1447.579</v>
      </c>
      <c r="I82" s="2">
        <v>45873.124999988424</v>
      </c>
      <c r="J82">
        <v>233758.15379000001</v>
      </c>
      <c r="K82">
        <v>546</v>
      </c>
    </row>
    <row r="83" spans="1:11" x14ac:dyDescent="0.2">
      <c r="A83" s="1">
        <v>45873</v>
      </c>
      <c r="B83" t="s">
        <v>12</v>
      </c>
      <c r="C83" s="2">
        <v>45873.125</v>
      </c>
      <c r="D83">
        <v>161.63999999999999</v>
      </c>
      <c r="E83">
        <v>169.71</v>
      </c>
      <c r="F83">
        <v>161.47999999999999</v>
      </c>
      <c r="G83">
        <v>169.46</v>
      </c>
      <c r="H83">
        <v>1451.15</v>
      </c>
      <c r="I83" s="2">
        <v>45874.124999988424</v>
      </c>
      <c r="J83">
        <v>240026.97659999999</v>
      </c>
      <c r="K83">
        <v>866</v>
      </c>
    </row>
    <row r="84" spans="1:11" x14ac:dyDescent="0.2">
      <c r="A84" s="1">
        <v>45874</v>
      </c>
      <c r="B84" t="s">
        <v>12</v>
      </c>
      <c r="C84" s="2">
        <v>45874.125</v>
      </c>
      <c r="D84">
        <v>169.59</v>
      </c>
      <c r="E84">
        <v>171.65</v>
      </c>
      <c r="F84">
        <v>161.52000000000001</v>
      </c>
      <c r="G84">
        <v>164.19</v>
      </c>
      <c r="H84">
        <v>1179.817</v>
      </c>
      <c r="I84" s="2">
        <v>45875.124999988424</v>
      </c>
      <c r="J84">
        <v>196425.51639999999</v>
      </c>
      <c r="K84">
        <v>864</v>
      </c>
    </row>
    <row r="85" spans="1:11" x14ac:dyDescent="0.2">
      <c r="A85" s="1">
        <v>45875</v>
      </c>
      <c r="B85" t="s">
        <v>12</v>
      </c>
      <c r="C85" s="2">
        <v>45875.125</v>
      </c>
      <c r="D85">
        <v>164.12</v>
      </c>
      <c r="E85">
        <v>169.82</v>
      </c>
      <c r="F85">
        <v>161.26</v>
      </c>
      <c r="G85">
        <v>167.96</v>
      </c>
      <c r="H85">
        <v>2087.5459999999998</v>
      </c>
      <c r="I85" s="2">
        <v>45876.124999988424</v>
      </c>
      <c r="J85">
        <v>344935.95301</v>
      </c>
      <c r="K85">
        <v>771</v>
      </c>
    </row>
    <row r="86" spans="1:11" x14ac:dyDescent="0.2">
      <c r="A86" s="1">
        <v>45876</v>
      </c>
      <c r="B86" t="s">
        <v>12</v>
      </c>
      <c r="C86" s="2">
        <v>45876.125</v>
      </c>
      <c r="D86">
        <v>167.95</v>
      </c>
      <c r="E86">
        <v>175.5</v>
      </c>
      <c r="F86">
        <v>166.42</v>
      </c>
      <c r="G86">
        <v>175.49</v>
      </c>
      <c r="H86">
        <v>1687.8689999999999</v>
      </c>
      <c r="I86" s="2">
        <v>45877.124999988424</v>
      </c>
      <c r="J86">
        <v>288767.14191000001</v>
      </c>
      <c r="K86">
        <v>1077</v>
      </c>
    </row>
    <row r="87" spans="1:11" x14ac:dyDescent="0.2">
      <c r="A87" s="1">
        <v>45877</v>
      </c>
      <c r="B87" t="s">
        <v>12</v>
      </c>
      <c r="C87" s="2">
        <v>45877.125</v>
      </c>
      <c r="D87">
        <v>175.45</v>
      </c>
      <c r="E87">
        <v>179.51</v>
      </c>
      <c r="F87">
        <v>173.6</v>
      </c>
      <c r="G87">
        <v>176.7</v>
      </c>
      <c r="H87">
        <v>2813.2919999999999</v>
      </c>
      <c r="I87" s="2">
        <v>45878.124999988424</v>
      </c>
      <c r="J87">
        <v>497639.16305999999</v>
      </c>
      <c r="K87">
        <v>1358</v>
      </c>
    </row>
    <row r="88" spans="1:11" x14ac:dyDescent="0.2">
      <c r="A88" s="1">
        <v>45878</v>
      </c>
      <c r="B88" t="s">
        <v>12</v>
      </c>
      <c r="C88" s="2">
        <v>45878.125</v>
      </c>
      <c r="D88">
        <v>176.85</v>
      </c>
      <c r="E88">
        <v>183.21</v>
      </c>
      <c r="F88">
        <v>176.67</v>
      </c>
      <c r="G88">
        <v>180.35</v>
      </c>
      <c r="H88">
        <v>3220.165</v>
      </c>
      <c r="I88" s="2">
        <v>45879.124999988424</v>
      </c>
      <c r="J88">
        <v>583088.78359000001</v>
      </c>
      <c r="K88">
        <v>1715</v>
      </c>
    </row>
    <row r="89" spans="1:11" x14ac:dyDescent="0.2">
      <c r="A89" s="1">
        <v>45879</v>
      </c>
      <c r="B89" t="s">
        <v>12</v>
      </c>
      <c r="C89" s="2">
        <v>45879.125</v>
      </c>
      <c r="D89">
        <v>180.06</v>
      </c>
      <c r="E89">
        <v>186.05</v>
      </c>
      <c r="F89">
        <v>177.63</v>
      </c>
      <c r="G89">
        <v>182.93</v>
      </c>
      <c r="H89">
        <v>3064.0549999999998</v>
      </c>
      <c r="I89" s="2">
        <v>45880.124999988424</v>
      </c>
      <c r="J89">
        <v>559059.57065999997</v>
      </c>
      <c r="K89">
        <v>1288</v>
      </c>
    </row>
    <row r="90" spans="1:11" x14ac:dyDescent="0.2">
      <c r="A90" s="1">
        <v>45880</v>
      </c>
      <c r="B90" t="s">
        <v>12</v>
      </c>
      <c r="C90" s="2">
        <v>45880.125</v>
      </c>
      <c r="D90">
        <v>182.53</v>
      </c>
      <c r="E90">
        <v>186.5</v>
      </c>
      <c r="F90">
        <v>173.68</v>
      </c>
      <c r="G90">
        <v>175.03</v>
      </c>
      <c r="H90">
        <v>4420.0209999999997</v>
      </c>
      <c r="I90" s="2">
        <v>45881.124999988424</v>
      </c>
      <c r="J90">
        <v>798932.91393000004</v>
      </c>
      <c r="K90">
        <v>1895</v>
      </c>
    </row>
    <row r="91" spans="1:11" x14ac:dyDescent="0.2">
      <c r="A91" s="1">
        <v>45881</v>
      </c>
      <c r="B91" t="s">
        <v>12</v>
      </c>
      <c r="C91" s="2">
        <v>45881.125</v>
      </c>
      <c r="D91">
        <v>174.68</v>
      </c>
      <c r="E91">
        <v>193.51</v>
      </c>
      <c r="F91">
        <v>173.8</v>
      </c>
      <c r="G91">
        <v>191.95</v>
      </c>
      <c r="H91">
        <v>5867.9949999999999</v>
      </c>
      <c r="I91" s="2">
        <v>45882.124999988424</v>
      </c>
      <c r="J91">
        <v>1078285.3185399999</v>
      </c>
      <c r="K91">
        <v>2331</v>
      </c>
    </row>
    <row r="92" spans="1:11" x14ac:dyDescent="0.2">
      <c r="A92" s="1">
        <v>45882</v>
      </c>
      <c r="B92" t="s">
        <v>12</v>
      </c>
      <c r="C92" s="2">
        <v>45882.125</v>
      </c>
      <c r="D92">
        <v>191.84</v>
      </c>
      <c r="E92">
        <v>204.9</v>
      </c>
      <c r="F92">
        <v>191.67</v>
      </c>
      <c r="G92">
        <v>201.37</v>
      </c>
      <c r="H92">
        <v>7949.81</v>
      </c>
      <c r="I92" s="2">
        <v>45883.124999988424</v>
      </c>
      <c r="J92">
        <v>1582522.5331600001</v>
      </c>
      <c r="K92">
        <v>3422</v>
      </c>
    </row>
    <row r="93" spans="1:11" x14ac:dyDescent="0.2">
      <c r="A93" s="1">
        <v>45883</v>
      </c>
      <c r="B93" t="s">
        <v>12</v>
      </c>
      <c r="C93" s="2">
        <v>45883.125</v>
      </c>
      <c r="D93">
        <v>201.66</v>
      </c>
      <c r="E93">
        <v>209.67</v>
      </c>
      <c r="F93">
        <v>187</v>
      </c>
      <c r="G93">
        <v>192.52</v>
      </c>
      <c r="H93">
        <v>8872.9150000000009</v>
      </c>
      <c r="I93" s="2">
        <v>45884.124999988424</v>
      </c>
      <c r="J93">
        <v>1772440.0233400001</v>
      </c>
      <c r="K93">
        <v>4000</v>
      </c>
    </row>
    <row r="94" spans="1:11" x14ac:dyDescent="0.2">
      <c r="A94" s="1">
        <v>45884</v>
      </c>
      <c r="B94" t="s">
        <v>12</v>
      </c>
      <c r="C94" s="2">
        <v>45884.125</v>
      </c>
      <c r="D94">
        <v>192.24</v>
      </c>
      <c r="E94">
        <v>197.6</v>
      </c>
      <c r="F94">
        <v>183.49</v>
      </c>
      <c r="G94">
        <v>185.77</v>
      </c>
      <c r="H94">
        <v>3461.0940000000001</v>
      </c>
      <c r="I94" s="2">
        <v>45885.124999988424</v>
      </c>
      <c r="J94">
        <v>657773.03439000004</v>
      </c>
      <c r="K94">
        <v>1836</v>
      </c>
    </row>
    <row r="95" spans="1:11" x14ac:dyDescent="0.2">
      <c r="A95" s="1">
        <v>45885</v>
      </c>
      <c r="B95" t="s">
        <v>12</v>
      </c>
      <c r="C95" s="2">
        <v>45885.125</v>
      </c>
      <c r="D95">
        <v>185.62</v>
      </c>
      <c r="E95">
        <v>190.06</v>
      </c>
      <c r="F95">
        <v>185.36</v>
      </c>
      <c r="G95">
        <v>189.53</v>
      </c>
      <c r="H95">
        <v>1121.242</v>
      </c>
      <c r="I95" s="2">
        <v>45886.124999988424</v>
      </c>
      <c r="J95">
        <v>210805.73095</v>
      </c>
      <c r="K95">
        <v>648</v>
      </c>
    </row>
    <row r="96" spans="1:11" x14ac:dyDescent="0.2">
      <c r="A96" s="1">
        <v>45886</v>
      </c>
      <c r="B96" t="s">
        <v>12</v>
      </c>
      <c r="C96" s="2">
        <v>45886.125</v>
      </c>
      <c r="D96">
        <v>189.75</v>
      </c>
      <c r="E96">
        <v>195.66</v>
      </c>
      <c r="F96">
        <v>187.5</v>
      </c>
      <c r="G96">
        <v>191.17</v>
      </c>
      <c r="H96">
        <v>2621.556</v>
      </c>
      <c r="I96" s="2">
        <v>45887.124999988424</v>
      </c>
      <c r="J96">
        <v>504153.90448999999</v>
      </c>
      <c r="K96">
        <v>993</v>
      </c>
    </row>
    <row r="97" spans="1:11" x14ac:dyDescent="0.2">
      <c r="A97" s="1">
        <v>45887</v>
      </c>
      <c r="B97" t="s">
        <v>12</v>
      </c>
      <c r="C97" s="2">
        <v>45887.125</v>
      </c>
      <c r="D97">
        <v>191</v>
      </c>
      <c r="E97">
        <v>191.37</v>
      </c>
      <c r="F97">
        <v>180.15</v>
      </c>
      <c r="G97">
        <v>182.76</v>
      </c>
      <c r="H97">
        <v>3020.5349999999999</v>
      </c>
      <c r="I97" s="2">
        <v>45888.124999988424</v>
      </c>
      <c r="J97">
        <v>553889.13629000005</v>
      </c>
      <c r="K97">
        <v>1454</v>
      </c>
    </row>
    <row r="98" spans="1:11" x14ac:dyDescent="0.2">
      <c r="A98" s="1">
        <v>45888</v>
      </c>
      <c r="B98" t="s">
        <v>12</v>
      </c>
      <c r="C98" s="2">
        <v>45888.125</v>
      </c>
      <c r="D98">
        <v>182.73</v>
      </c>
      <c r="E98">
        <v>185.74</v>
      </c>
      <c r="F98">
        <v>175.91</v>
      </c>
      <c r="G98">
        <v>176.05</v>
      </c>
      <c r="H98">
        <v>3561.192</v>
      </c>
      <c r="I98" s="2">
        <v>45889.124999988424</v>
      </c>
      <c r="J98">
        <v>640196.93466000003</v>
      </c>
      <c r="K98">
        <v>1371</v>
      </c>
    </row>
    <row r="99" spans="1:11" x14ac:dyDescent="0.2">
      <c r="A99" s="1">
        <v>45889</v>
      </c>
      <c r="B99" t="s">
        <v>12</v>
      </c>
      <c r="C99" s="2">
        <v>45889.125</v>
      </c>
      <c r="D99">
        <v>176.98</v>
      </c>
      <c r="E99">
        <v>187.74</v>
      </c>
      <c r="F99">
        <v>176.35</v>
      </c>
      <c r="G99">
        <v>187.67</v>
      </c>
      <c r="H99">
        <v>3346.076</v>
      </c>
      <c r="I99" s="2">
        <v>45890.124999988424</v>
      </c>
      <c r="J99">
        <v>605560.35117000004</v>
      </c>
      <c r="K99">
        <v>1225</v>
      </c>
    </row>
    <row r="100" spans="1:11" x14ac:dyDescent="0.2">
      <c r="A100" s="1">
        <v>45890</v>
      </c>
      <c r="B100" t="s">
        <v>12</v>
      </c>
      <c r="C100" s="2">
        <v>45890.125</v>
      </c>
      <c r="D100">
        <v>187.77</v>
      </c>
      <c r="E100">
        <v>190</v>
      </c>
      <c r="F100">
        <v>179.42</v>
      </c>
      <c r="G100">
        <v>180.2</v>
      </c>
      <c r="H100">
        <v>2103.0010000000002</v>
      </c>
      <c r="I100" s="2">
        <v>45891.124999988424</v>
      </c>
      <c r="J100">
        <v>386087.44838999998</v>
      </c>
      <c r="K100">
        <v>1165</v>
      </c>
    </row>
    <row r="101" spans="1:11" x14ac:dyDescent="0.2">
      <c r="A101" s="1">
        <v>45891</v>
      </c>
      <c r="B101" t="s">
        <v>12</v>
      </c>
      <c r="C101" s="2">
        <v>45891.125</v>
      </c>
      <c r="D101">
        <v>180.47</v>
      </c>
      <c r="E101">
        <v>202.31</v>
      </c>
      <c r="F101">
        <v>177.52</v>
      </c>
      <c r="G101">
        <v>200.76</v>
      </c>
      <c r="H101">
        <v>9720.1759999999995</v>
      </c>
      <c r="I101" s="2">
        <v>45892.124999988424</v>
      </c>
      <c r="J101">
        <v>1873095.02633</v>
      </c>
      <c r="K101">
        <v>4475</v>
      </c>
    </row>
    <row r="102" spans="1:11" x14ac:dyDescent="0.2">
      <c r="A102" s="1">
        <v>45892</v>
      </c>
      <c r="B102" t="s">
        <v>12</v>
      </c>
      <c r="C102" s="2">
        <v>45892.125</v>
      </c>
      <c r="D102">
        <v>200.79</v>
      </c>
      <c r="E102">
        <v>208.49</v>
      </c>
      <c r="F102">
        <v>195</v>
      </c>
      <c r="G102">
        <v>204.1</v>
      </c>
      <c r="H102">
        <v>8297.223</v>
      </c>
      <c r="I102" s="2">
        <v>45893.124999988424</v>
      </c>
      <c r="J102">
        <v>1685379.9798099999</v>
      </c>
      <c r="K102">
        <v>1864</v>
      </c>
    </row>
    <row r="103" spans="1:11" x14ac:dyDescent="0.2">
      <c r="A103" s="1">
        <v>45893</v>
      </c>
      <c r="B103" t="s">
        <v>12</v>
      </c>
      <c r="C103" s="2">
        <v>45893.125</v>
      </c>
      <c r="D103">
        <v>204.23</v>
      </c>
      <c r="E103">
        <v>212</v>
      </c>
      <c r="F103">
        <v>201.43</v>
      </c>
      <c r="G103">
        <v>205.82</v>
      </c>
      <c r="H103">
        <v>7739.0609999999997</v>
      </c>
      <c r="I103" s="2">
        <v>45894.124999988424</v>
      </c>
      <c r="J103">
        <v>1606420.4760100001</v>
      </c>
      <c r="K103">
        <v>3180</v>
      </c>
    </row>
    <row r="104" spans="1:11" x14ac:dyDescent="0.2">
      <c r="A104" s="1">
        <v>45894</v>
      </c>
      <c r="B104" t="s">
        <v>12</v>
      </c>
      <c r="C104" s="2">
        <v>45894.125</v>
      </c>
      <c r="D104">
        <v>206.22</v>
      </c>
      <c r="E104">
        <v>213.38</v>
      </c>
      <c r="F104">
        <v>185.73</v>
      </c>
      <c r="G104">
        <v>187.33</v>
      </c>
      <c r="H104">
        <v>7305.8549999999996</v>
      </c>
      <c r="I104" s="2">
        <v>45895.124999988424</v>
      </c>
      <c r="J104">
        <v>1449554.58819</v>
      </c>
      <c r="K104">
        <v>3199</v>
      </c>
    </row>
    <row r="105" spans="1:11" x14ac:dyDescent="0.2">
      <c r="A105" s="1">
        <v>45895</v>
      </c>
      <c r="B105" t="s">
        <v>12</v>
      </c>
      <c r="C105" s="2">
        <v>45895.125</v>
      </c>
      <c r="D105">
        <v>187.14</v>
      </c>
      <c r="E105">
        <v>197.96</v>
      </c>
      <c r="F105">
        <v>185.73</v>
      </c>
      <c r="G105">
        <v>195.77</v>
      </c>
      <c r="H105">
        <v>3114.6</v>
      </c>
      <c r="I105" s="2">
        <v>45896.124999988424</v>
      </c>
      <c r="J105">
        <v>603520.12938000006</v>
      </c>
      <c r="K105">
        <v>1613</v>
      </c>
    </row>
    <row r="106" spans="1:11" x14ac:dyDescent="0.2">
      <c r="A106" s="1">
        <v>45896</v>
      </c>
      <c r="B106" t="s">
        <v>12</v>
      </c>
      <c r="C106" s="2">
        <v>45896.125</v>
      </c>
      <c r="D106">
        <v>195.76</v>
      </c>
      <c r="E106">
        <v>213.28</v>
      </c>
      <c r="F106">
        <v>194</v>
      </c>
      <c r="G106">
        <v>202.7</v>
      </c>
      <c r="H106">
        <v>63792.142999999996</v>
      </c>
      <c r="I106" s="2">
        <v>45897.124999988424</v>
      </c>
      <c r="J106">
        <v>13017528.2949</v>
      </c>
      <c r="K106">
        <v>8819</v>
      </c>
    </row>
    <row r="107" spans="1:11" x14ac:dyDescent="0.2">
      <c r="A107" s="1">
        <v>45897</v>
      </c>
      <c r="B107" t="s">
        <v>12</v>
      </c>
      <c r="C107" s="2">
        <v>45897.125</v>
      </c>
      <c r="D107">
        <v>203.15</v>
      </c>
      <c r="E107">
        <v>216.74</v>
      </c>
      <c r="F107">
        <v>201.85</v>
      </c>
      <c r="G107">
        <v>214.2</v>
      </c>
      <c r="H107">
        <v>6836.5870000000004</v>
      </c>
      <c r="I107" s="2">
        <v>45898.124999988424</v>
      </c>
      <c r="J107">
        <v>1443777.37304</v>
      </c>
      <c r="K107">
        <v>2533</v>
      </c>
    </row>
    <row r="108" spans="1:11" x14ac:dyDescent="0.2">
      <c r="A108" s="1">
        <v>45898</v>
      </c>
      <c r="B108" t="s">
        <v>12</v>
      </c>
      <c r="C108" s="2">
        <v>45898.125</v>
      </c>
      <c r="D108">
        <v>214.53</v>
      </c>
      <c r="E108">
        <v>217.93</v>
      </c>
      <c r="F108">
        <v>200.11</v>
      </c>
      <c r="G108">
        <v>205.48</v>
      </c>
      <c r="H108">
        <v>7389.1729999999998</v>
      </c>
      <c r="I108" s="2">
        <v>45899.124999988424</v>
      </c>
      <c r="J108">
        <v>1539889.3234999999</v>
      </c>
      <c r="K108">
        <v>3007</v>
      </c>
    </row>
    <row r="109" spans="1:11" x14ac:dyDescent="0.2">
      <c r="A109" s="1">
        <v>45899</v>
      </c>
      <c r="B109" t="s">
        <v>12</v>
      </c>
      <c r="C109" s="2">
        <v>45899.125</v>
      </c>
      <c r="D109">
        <v>204.59</v>
      </c>
      <c r="E109">
        <v>206.89</v>
      </c>
      <c r="F109">
        <v>197.78</v>
      </c>
      <c r="G109">
        <v>202.83</v>
      </c>
      <c r="H109">
        <v>1608.296</v>
      </c>
      <c r="I109" s="2">
        <v>45900.124999988424</v>
      </c>
      <c r="J109">
        <v>324648.94825000002</v>
      </c>
      <c r="K109">
        <v>973</v>
      </c>
    </row>
    <row r="110" spans="1:11" x14ac:dyDescent="0.2">
      <c r="A110" s="1">
        <v>45900</v>
      </c>
      <c r="B110" t="s">
        <v>12</v>
      </c>
      <c r="C110" s="2">
        <v>45900.125</v>
      </c>
      <c r="D110">
        <v>202.67</v>
      </c>
      <c r="E110">
        <v>207.1</v>
      </c>
      <c r="F110">
        <v>200.42</v>
      </c>
      <c r="G110">
        <v>200.42</v>
      </c>
      <c r="H110">
        <v>2055.6</v>
      </c>
      <c r="I110" s="2">
        <v>45901.124999988424</v>
      </c>
      <c r="J110">
        <v>420783.64221999998</v>
      </c>
      <c r="K110">
        <v>976</v>
      </c>
    </row>
    <row r="111" spans="1:11" x14ac:dyDescent="0.2">
      <c r="A111" s="1">
        <v>45901</v>
      </c>
      <c r="B111" t="s">
        <v>12</v>
      </c>
      <c r="C111" s="2">
        <v>45901.125</v>
      </c>
      <c r="D111">
        <v>200.53</v>
      </c>
      <c r="E111">
        <v>204.58</v>
      </c>
      <c r="F111">
        <v>194.33</v>
      </c>
      <c r="G111">
        <v>197.39</v>
      </c>
      <c r="H111">
        <v>4394.3140000000003</v>
      </c>
      <c r="I111" s="2">
        <v>45902.124999988424</v>
      </c>
      <c r="J111">
        <v>870875.03515000001</v>
      </c>
      <c r="K111">
        <v>1439</v>
      </c>
    </row>
    <row r="112" spans="1:11" x14ac:dyDescent="0.2">
      <c r="A112" s="1">
        <v>45902</v>
      </c>
      <c r="B112" t="s">
        <v>12</v>
      </c>
      <c r="C112" s="2">
        <v>45902.125</v>
      </c>
      <c r="D112">
        <v>197.17</v>
      </c>
      <c r="E112">
        <v>209.38</v>
      </c>
      <c r="F112">
        <v>196.84</v>
      </c>
      <c r="G112">
        <v>209.38</v>
      </c>
      <c r="H112">
        <v>3407.9789999999998</v>
      </c>
      <c r="I112" s="2">
        <v>45903.124999988424</v>
      </c>
      <c r="J112">
        <v>696406.58123999997</v>
      </c>
      <c r="K112">
        <v>1520</v>
      </c>
    </row>
    <row r="113" spans="1:11" x14ac:dyDescent="0.2">
      <c r="A113" s="1">
        <v>45903</v>
      </c>
      <c r="B113" t="s">
        <v>12</v>
      </c>
      <c r="C113" s="2">
        <v>45903.125</v>
      </c>
      <c r="D113">
        <v>209.39</v>
      </c>
      <c r="E113">
        <v>212.94</v>
      </c>
      <c r="F113">
        <v>207.67</v>
      </c>
      <c r="G113">
        <v>210.46</v>
      </c>
      <c r="H113">
        <v>1999.86</v>
      </c>
      <c r="I113" s="2">
        <v>45904.124999988424</v>
      </c>
      <c r="J113">
        <v>420099.37550000002</v>
      </c>
      <c r="K113">
        <v>891</v>
      </c>
    </row>
    <row r="114" spans="1:11" x14ac:dyDescent="0.2">
      <c r="A114" s="1">
        <v>45904</v>
      </c>
      <c r="B114" t="s">
        <v>12</v>
      </c>
      <c r="C114" s="2">
        <v>45904.125</v>
      </c>
      <c r="D114">
        <v>210.14</v>
      </c>
      <c r="E114">
        <v>211.85</v>
      </c>
      <c r="F114">
        <v>201.95</v>
      </c>
      <c r="G114">
        <v>202.45</v>
      </c>
      <c r="H114">
        <v>7881.7910000000002</v>
      </c>
      <c r="I114" s="2">
        <v>45905.124999988424</v>
      </c>
      <c r="J114">
        <v>1607963.59118</v>
      </c>
      <c r="K114">
        <v>1415</v>
      </c>
    </row>
    <row r="115" spans="1:11" x14ac:dyDescent="0.2">
      <c r="A115" s="1">
        <v>45905</v>
      </c>
      <c r="B115" t="s">
        <v>12</v>
      </c>
      <c r="C115" s="2">
        <v>45905.125</v>
      </c>
      <c r="D115">
        <v>202.15</v>
      </c>
      <c r="E115">
        <v>209.89</v>
      </c>
      <c r="F115">
        <v>201.04</v>
      </c>
      <c r="G115">
        <v>203.56</v>
      </c>
      <c r="H115">
        <v>2552.337</v>
      </c>
      <c r="I115" s="2">
        <v>45906.124999988424</v>
      </c>
      <c r="J115">
        <v>521020.95627999998</v>
      </c>
      <c r="K115">
        <v>1372</v>
      </c>
    </row>
    <row r="116" spans="1:11" x14ac:dyDescent="0.2">
      <c r="A116" s="1">
        <v>45906</v>
      </c>
      <c r="B116" t="s">
        <v>12</v>
      </c>
      <c r="C116" s="2">
        <v>45906.125</v>
      </c>
      <c r="D116">
        <v>203.39</v>
      </c>
      <c r="E116">
        <v>204.75</v>
      </c>
      <c r="F116">
        <v>199.41</v>
      </c>
      <c r="G116">
        <v>200.29</v>
      </c>
      <c r="H116">
        <v>1321.63</v>
      </c>
      <c r="I116" s="2">
        <v>45907.124999988424</v>
      </c>
      <c r="J116">
        <v>267047.23388999997</v>
      </c>
      <c r="K116">
        <v>603</v>
      </c>
    </row>
    <row r="117" spans="1:11" x14ac:dyDescent="0.2">
      <c r="A117" s="1">
        <v>45907</v>
      </c>
      <c r="B117" t="s">
        <v>12</v>
      </c>
      <c r="C117" s="2">
        <v>45907.125</v>
      </c>
      <c r="D117">
        <v>200.6</v>
      </c>
      <c r="E117">
        <v>207.73</v>
      </c>
      <c r="F117">
        <v>200.6</v>
      </c>
      <c r="G117">
        <v>206.78</v>
      </c>
      <c r="H117">
        <v>1215.729</v>
      </c>
      <c r="I117" s="2">
        <v>45908.124999988424</v>
      </c>
      <c r="J117">
        <v>247906.74092000001</v>
      </c>
      <c r="K117">
        <v>818</v>
      </c>
    </row>
    <row r="118" spans="1:11" x14ac:dyDescent="0.2">
      <c r="A118" s="1">
        <v>45908</v>
      </c>
      <c r="B118" t="s">
        <v>12</v>
      </c>
      <c r="C118" s="2">
        <v>45908.125</v>
      </c>
      <c r="D118">
        <v>206.55</v>
      </c>
      <c r="E118">
        <v>216.97</v>
      </c>
      <c r="F118">
        <v>205.78</v>
      </c>
      <c r="G118">
        <v>214.29</v>
      </c>
      <c r="H118">
        <v>4014.3310000000001</v>
      </c>
      <c r="I118" s="2">
        <v>45909.124999988424</v>
      </c>
      <c r="J118">
        <v>856624.25447000004</v>
      </c>
      <c r="K118">
        <v>1691</v>
      </c>
    </row>
    <row r="119" spans="1:11" x14ac:dyDescent="0.2">
      <c r="A119" s="1">
        <v>45909</v>
      </c>
      <c r="B119" t="s">
        <v>12</v>
      </c>
      <c r="C119" s="2">
        <v>45909.125</v>
      </c>
      <c r="D119">
        <v>213.96</v>
      </c>
      <c r="E119">
        <v>219.59</v>
      </c>
      <c r="F119">
        <v>211</v>
      </c>
      <c r="G119">
        <v>217.23</v>
      </c>
      <c r="H119">
        <v>3059.7620000000002</v>
      </c>
      <c r="I119" s="2">
        <v>45910.124999988424</v>
      </c>
      <c r="J119">
        <v>661800.19051999995</v>
      </c>
      <c r="K119">
        <v>1710</v>
      </c>
    </row>
    <row r="120" spans="1:11" x14ac:dyDescent="0.2">
      <c r="A120" s="1">
        <v>45910</v>
      </c>
      <c r="B120" t="s">
        <v>12</v>
      </c>
      <c r="C120" s="2">
        <v>45910.125</v>
      </c>
      <c r="D120">
        <v>217.27</v>
      </c>
      <c r="E120">
        <v>225.61</v>
      </c>
      <c r="F120">
        <v>213.95</v>
      </c>
      <c r="G120">
        <v>224.08</v>
      </c>
      <c r="H120">
        <v>25195.025000000001</v>
      </c>
      <c r="I120" s="2">
        <v>45911.124999988424</v>
      </c>
      <c r="J120">
        <v>5501830.7003699997</v>
      </c>
      <c r="K120">
        <v>4727</v>
      </c>
    </row>
    <row r="121" spans="1:11" x14ac:dyDescent="0.2">
      <c r="A121" s="1">
        <v>45911</v>
      </c>
      <c r="B121" t="s">
        <v>12</v>
      </c>
      <c r="C121" s="2">
        <v>45911.125</v>
      </c>
      <c r="D121">
        <v>224.07</v>
      </c>
      <c r="E121">
        <v>228.84</v>
      </c>
      <c r="F121">
        <v>221.76</v>
      </c>
      <c r="G121">
        <v>228.72</v>
      </c>
      <c r="H121">
        <v>2706.328</v>
      </c>
      <c r="I121" s="2">
        <v>45912.124999988424</v>
      </c>
      <c r="J121">
        <v>611193.79850000003</v>
      </c>
      <c r="K121">
        <v>1551</v>
      </c>
    </row>
    <row r="122" spans="1:11" x14ac:dyDescent="0.2">
      <c r="A122" s="1">
        <v>45912</v>
      </c>
      <c r="B122" t="s">
        <v>12</v>
      </c>
      <c r="C122" s="2">
        <v>45912.125</v>
      </c>
      <c r="D122">
        <v>228.67</v>
      </c>
      <c r="E122">
        <v>243.79</v>
      </c>
      <c r="F122">
        <v>227.91</v>
      </c>
      <c r="G122">
        <v>241.71</v>
      </c>
      <c r="H122">
        <v>7253.335</v>
      </c>
      <c r="I122" s="2">
        <v>45913.124999988424</v>
      </c>
      <c r="J122">
        <v>1722142.8434599999</v>
      </c>
      <c r="K122">
        <v>2955</v>
      </c>
    </row>
    <row r="123" spans="1:11" x14ac:dyDescent="0.2">
      <c r="A123" s="1">
        <v>45913</v>
      </c>
      <c r="B123" t="s">
        <v>12</v>
      </c>
      <c r="C123" s="2">
        <v>45913.125</v>
      </c>
      <c r="D123">
        <v>242.36</v>
      </c>
      <c r="E123">
        <v>243.9</v>
      </c>
      <c r="F123">
        <v>236.1</v>
      </c>
      <c r="G123">
        <v>242.61</v>
      </c>
      <c r="H123">
        <v>3447.8620000000001</v>
      </c>
      <c r="I123" s="2">
        <v>45914.124999988424</v>
      </c>
      <c r="J123">
        <v>827627.64234000002</v>
      </c>
      <c r="K123">
        <v>1260</v>
      </c>
    </row>
    <row r="124" spans="1:11" x14ac:dyDescent="0.2">
      <c r="A124" s="1">
        <v>45914</v>
      </c>
      <c r="B124" t="s">
        <v>12</v>
      </c>
      <c r="C124" s="2">
        <v>45914.125</v>
      </c>
      <c r="D124">
        <v>242.74</v>
      </c>
      <c r="E124">
        <v>249.2</v>
      </c>
      <c r="F124">
        <v>239.56</v>
      </c>
      <c r="G124">
        <v>239.9</v>
      </c>
      <c r="H124">
        <v>10530.01</v>
      </c>
      <c r="I124" s="2">
        <v>45915.124999988424</v>
      </c>
      <c r="J124">
        <v>2571722.1160300002</v>
      </c>
      <c r="K124">
        <v>3223</v>
      </c>
    </row>
    <row r="125" spans="1:11" x14ac:dyDescent="0.2">
      <c r="A125" s="1">
        <v>45915</v>
      </c>
      <c r="B125" t="s">
        <v>12</v>
      </c>
      <c r="C125" s="2">
        <v>45915.125</v>
      </c>
      <c r="D125">
        <v>239.84</v>
      </c>
      <c r="E125">
        <v>244.14</v>
      </c>
      <c r="F125">
        <v>230.06</v>
      </c>
      <c r="G125">
        <v>234.44</v>
      </c>
      <c r="H125">
        <v>4041.7170000000001</v>
      </c>
      <c r="I125" s="2">
        <v>45916.124999988424</v>
      </c>
      <c r="J125">
        <v>951106.72279999999</v>
      </c>
      <c r="K125">
        <v>1782</v>
      </c>
    </row>
    <row r="126" spans="1:11" x14ac:dyDescent="0.2">
      <c r="A126" s="1">
        <v>45916</v>
      </c>
      <c r="B126" t="s">
        <v>12</v>
      </c>
      <c r="C126" s="2">
        <v>45916.125</v>
      </c>
      <c r="D126">
        <v>233.92</v>
      </c>
      <c r="E126">
        <v>240.6</v>
      </c>
      <c r="F126">
        <v>231.64</v>
      </c>
      <c r="G126">
        <v>236.85</v>
      </c>
      <c r="H126">
        <v>2294.3809999999999</v>
      </c>
      <c r="I126" s="2">
        <v>45917.124999988424</v>
      </c>
      <c r="J126">
        <v>541267.86558999994</v>
      </c>
      <c r="K126">
        <v>1066</v>
      </c>
    </row>
    <row r="127" spans="1:11" x14ac:dyDescent="0.2">
      <c r="A127" s="1">
        <v>45917</v>
      </c>
      <c r="B127" t="s">
        <v>12</v>
      </c>
      <c r="C127" s="2">
        <v>45917.125</v>
      </c>
      <c r="D127">
        <v>236.77</v>
      </c>
      <c r="E127">
        <v>246.27</v>
      </c>
      <c r="F127">
        <v>232</v>
      </c>
      <c r="G127">
        <v>244.76</v>
      </c>
      <c r="H127">
        <v>11136.877</v>
      </c>
      <c r="I127" s="2">
        <v>45918.124999988424</v>
      </c>
      <c r="J127">
        <v>2645979.06219</v>
      </c>
      <c r="K127">
        <v>3425</v>
      </c>
    </row>
    <row r="128" spans="1:11" x14ac:dyDescent="0.2">
      <c r="A128" s="1">
        <v>45918</v>
      </c>
      <c r="B128" t="s">
        <v>12</v>
      </c>
      <c r="C128" s="2">
        <v>45918.125</v>
      </c>
      <c r="D128">
        <v>245.15</v>
      </c>
      <c r="E128">
        <v>253.22</v>
      </c>
      <c r="F128">
        <v>242.71</v>
      </c>
      <c r="G128">
        <v>247.48</v>
      </c>
      <c r="H128">
        <v>7020.9530000000004</v>
      </c>
      <c r="I128" s="2">
        <v>45919.124999988424</v>
      </c>
      <c r="J128">
        <v>1747034.11466</v>
      </c>
      <c r="K128">
        <v>2416</v>
      </c>
    </row>
    <row r="129" spans="1:11" x14ac:dyDescent="0.2">
      <c r="A129" s="1">
        <v>45919</v>
      </c>
      <c r="B129" t="s">
        <v>12</v>
      </c>
      <c r="C129" s="2">
        <v>45919.125</v>
      </c>
      <c r="D129">
        <v>247.2</v>
      </c>
      <c r="E129">
        <v>248.31</v>
      </c>
      <c r="F129">
        <v>235.42</v>
      </c>
      <c r="G129">
        <v>238.47</v>
      </c>
      <c r="H129">
        <v>3585.6</v>
      </c>
      <c r="I129" s="2">
        <v>45920.124999988424</v>
      </c>
      <c r="J129">
        <v>865403.06610000005</v>
      </c>
      <c r="K129">
        <v>1465</v>
      </c>
    </row>
    <row r="130" spans="1:11" x14ac:dyDescent="0.2">
      <c r="A130" s="1">
        <v>45920</v>
      </c>
      <c r="B130" t="s">
        <v>12</v>
      </c>
      <c r="C130" s="2">
        <v>45920.125</v>
      </c>
      <c r="D130">
        <v>238.24</v>
      </c>
      <c r="E130">
        <v>242.95</v>
      </c>
      <c r="F130">
        <v>237.14</v>
      </c>
      <c r="G130">
        <v>239.78</v>
      </c>
      <c r="H130">
        <v>2351.9639999999999</v>
      </c>
      <c r="I130" s="2">
        <v>45921.124999988424</v>
      </c>
      <c r="J130">
        <v>562858.0318</v>
      </c>
      <c r="K130">
        <v>828</v>
      </c>
    </row>
    <row r="131" spans="1:11" x14ac:dyDescent="0.2">
      <c r="A131" s="1">
        <v>45921</v>
      </c>
      <c r="B131" t="s">
        <v>12</v>
      </c>
      <c r="C131" s="2">
        <v>45921.125</v>
      </c>
      <c r="D131">
        <v>239.73</v>
      </c>
      <c r="E131">
        <v>241.8</v>
      </c>
      <c r="F131">
        <v>235.6</v>
      </c>
      <c r="G131">
        <v>236.19</v>
      </c>
      <c r="H131">
        <v>1567.027</v>
      </c>
      <c r="I131" s="2">
        <v>45922.124999988424</v>
      </c>
      <c r="J131">
        <v>373666.63987000001</v>
      </c>
      <c r="K131">
        <v>638</v>
      </c>
    </row>
    <row r="132" spans="1:11" x14ac:dyDescent="0.2">
      <c r="A132" s="1">
        <v>45922</v>
      </c>
      <c r="B132" t="s">
        <v>12</v>
      </c>
      <c r="C132" s="2">
        <v>45922.125</v>
      </c>
      <c r="D132">
        <v>236.19</v>
      </c>
      <c r="E132">
        <v>236.83</v>
      </c>
      <c r="F132">
        <v>216.56</v>
      </c>
      <c r="G132">
        <v>220.75</v>
      </c>
      <c r="H132">
        <v>4491.5379999999996</v>
      </c>
      <c r="I132" s="2">
        <v>45923.124999988424</v>
      </c>
      <c r="J132">
        <v>1009317.49309</v>
      </c>
      <c r="K132">
        <v>2065</v>
      </c>
    </row>
    <row r="133" spans="1:11" x14ac:dyDescent="0.2">
      <c r="A133" s="1">
        <v>45923</v>
      </c>
      <c r="B133" t="s">
        <v>12</v>
      </c>
      <c r="C133" s="2">
        <v>45923.125</v>
      </c>
      <c r="D133">
        <v>220.08</v>
      </c>
      <c r="E133">
        <v>221.37</v>
      </c>
      <c r="F133">
        <v>212.63</v>
      </c>
      <c r="G133">
        <v>213.5</v>
      </c>
      <c r="H133">
        <v>1920.5920000000001</v>
      </c>
      <c r="I133" s="2">
        <v>45924.124999988424</v>
      </c>
      <c r="J133">
        <v>417087.53746000002</v>
      </c>
      <c r="K133">
        <v>1505</v>
      </c>
    </row>
    <row r="134" spans="1:11" x14ac:dyDescent="0.2">
      <c r="A134" s="1">
        <v>45924</v>
      </c>
      <c r="B134" t="s">
        <v>12</v>
      </c>
      <c r="C134" s="2">
        <v>45924.125</v>
      </c>
      <c r="D134">
        <v>213.5</v>
      </c>
      <c r="E134">
        <v>216.13</v>
      </c>
      <c r="F134">
        <v>204</v>
      </c>
      <c r="G134">
        <v>211.65</v>
      </c>
      <c r="H134">
        <v>11541.57</v>
      </c>
      <c r="I134" s="2">
        <v>45925.124999988424</v>
      </c>
      <c r="J134">
        <v>2452455.3594200001</v>
      </c>
      <c r="K134">
        <v>2779</v>
      </c>
    </row>
    <row r="135" spans="1:11" x14ac:dyDescent="0.2">
      <c r="A135" s="1">
        <v>45925</v>
      </c>
      <c r="B135" t="s">
        <v>12</v>
      </c>
      <c r="C135" s="2">
        <v>45925.125</v>
      </c>
      <c r="D135">
        <v>211.44</v>
      </c>
      <c r="E135">
        <v>212.24</v>
      </c>
      <c r="F135">
        <v>191.33</v>
      </c>
      <c r="G135">
        <v>191.87</v>
      </c>
      <c r="H135">
        <v>10070.61</v>
      </c>
      <c r="I135" s="2">
        <v>45926.124999988424</v>
      </c>
      <c r="J135">
        <v>2019904.00082</v>
      </c>
      <c r="K135">
        <v>2542</v>
      </c>
    </row>
    <row r="136" spans="1:11" x14ac:dyDescent="0.2">
      <c r="A136" s="1">
        <v>45926</v>
      </c>
      <c r="B136" t="s">
        <v>12</v>
      </c>
      <c r="C136" s="2">
        <v>45926.125</v>
      </c>
      <c r="D136">
        <v>192.48</v>
      </c>
      <c r="E136">
        <v>205.18</v>
      </c>
      <c r="F136">
        <v>190.9</v>
      </c>
      <c r="G136">
        <v>204.73</v>
      </c>
      <c r="H136">
        <v>4240.4920000000002</v>
      </c>
      <c r="I136" s="2">
        <v>45927.124999988424</v>
      </c>
      <c r="J136">
        <v>840137.04990999994</v>
      </c>
      <c r="K136">
        <v>1419</v>
      </c>
    </row>
    <row r="137" spans="1:11" x14ac:dyDescent="0.2">
      <c r="A137" s="1">
        <v>45927</v>
      </c>
      <c r="B137" t="s">
        <v>12</v>
      </c>
      <c r="C137" s="2">
        <v>45927.125</v>
      </c>
      <c r="D137">
        <v>204.9</v>
      </c>
      <c r="E137">
        <v>205.4</v>
      </c>
      <c r="F137">
        <v>199.97</v>
      </c>
      <c r="G137">
        <v>203.3</v>
      </c>
      <c r="H137">
        <v>818.85400000000004</v>
      </c>
      <c r="I137" s="2">
        <v>45928.124999988424</v>
      </c>
      <c r="J137">
        <v>166064.19964000001</v>
      </c>
      <c r="K137">
        <v>769</v>
      </c>
    </row>
    <row r="138" spans="1:11" x14ac:dyDescent="0.2">
      <c r="A138" s="1">
        <v>45928</v>
      </c>
      <c r="B138" t="s">
        <v>12</v>
      </c>
      <c r="C138" s="2">
        <v>45928.125</v>
      </c>
      <c r="D138">
        <v>203.5</v>
      </c>
      <c r="E138">
        <v>210.74</v>
      </c>
      <c r="F138">
        <v>198.19</v>
      </c>
      <c r="G138">
        <v>210.69</v>
      </c>
      <c r="H138">
        <v>1825.3579999999999</v>
      </c>
      <c r="I138" s="2">
        <v>45929.124999988424</v>
      </c>
      <c r="J138">
        <v>375214.01655</v>
      </c>
      <c r="K138">
        <v>957</v>
      </c>
    </row>
    <row r="139" spans="1:11" x14ac:dyDescent="0.2">
      <c r="A139" s="1">
        <v>45929</v>
      </c>
      <c r="B139" t="s">
        <v>12</v>
      </c>
      <c r="C139" s="2">
        <v>45929.125</v>
      </c>
      <c r="D139">
        <v>210.73</v>
      </c>
      <c r="E139">
        <v>214.67</v>
      </c>
      <c r="F139">
        <v>204.75</v>
      </c>
      <c r="G139">
        <v>212.87</v>
      </c>
      <c r="H139">
        <v>2408.0700000000002</v>
      </c>
      <c r="I139" s="2">
        <v>45930.124999988424</v>
      </c>
      <c r="J139">
        <v>504845.87845999998</v>
      </c>
      <c r="K139">
        <v>988</v>
      </c>
    </row>
    <row r="140" spans="1:11" x14ac:dyDescent="0.2">
      <c r="A140" s="1">
        <v>45930</v>
      </c>
      <c r="B140" t="s">
        <v>12</v>
      </c>
      <c r="C140" s="2">
        <v>45930.125</v>
      </c>
      <c r="D140">
        <v>212.88</v>
      </c>
      <c r="E140">
        <v>213.7</v>
      </c>
      <c r="F140">
        <v>204.5</v>
      </c>
      <c r="G140">
        <v>208.54</v>
      </c>
      <c r="H140">
        <v>2070.0039999999999</v>
      </c>
      <c r="I140" s="2">
        <v>45931.124999988424</v>
      </c>
      <c r="J140">
        <v>431814.21717999998</v>
      </c>
      <c r="K140">
        <v>958</v>
      </c>
    </row>
    <row r="141" spans="1:11" x14ac:dyDescent="0.2">
      <c r="A141" s="1">
        <v>45931</v>
      </c>
      <c r="B141" t="s">
        <v>12</v>
      </c>
      <c r="C141" s="2">
        <v>45931.125</v>
      </c>
      <c r="D141">
        <v>208.5</v>
      </c>
      <c r="E141">
        <v>222.46</v>
      </c>
      <c r="F141">
        <v>206.24</v>
      </c>
      <c r="G141">
        <v>221.71</v>
      </c>
      <c r="H141">
        <v>24077.402999999998</v>
      </c>
      <c r="I141" s="2">
        <v>45932.124999988424</v>
      </c>
      <c r="J141">
        <v>5106288.5287199998</v>
      </c>
      <c r="K141">
        <v>3995</v>
      </c>
    </row>
    <row r="142" spans="1:11" x14ac:dyDescent="0.2">
      <c r="A142" s="1">
        <v>45932</v>
      </c>
      <c r="B142" t="s">
        <v>12</v>
      </c>
      <c r="C142" s="2">
        <v>45932.125</v>
      </c>
      <c r="D142">
        <v>222</v>
      </c>
      <c r="E142">
        <v>234.72</v>
      </c>
      <c r="F142">
        <v>219.64</v>
      </c>
      <c r="G142">
        <v>234.39</v>
      </c>
      <c r="H142">
        <v>4527.57</v>
      </c>
      <c r="I142" s="2">
        <v>45933.124999988424</v>
      </c>
      <c r="J142">
        <v>1031830.98913</v>
      </c>
      <c r="K142">
        <v>2559</v>
      </c>
    </row>
    <row r="143" spans="1:11" x14ac:dyDescent="0.2">
      <c r="A143" s="1">
        <v>45933</v>
      </c>
      <c r="B143" t="s">
        <v>12</v>
      </c>
      <c r="C143" s="2">
        <v>45933.125</v>
      </c>
      <c r="D143">
        <v>234.72</v>
      </c>
      <c r="E143">
        <v>236.61</v>
      </c>
      <c r="F143">
        <v>227.23</v>
      </c>
      <c r="G143">
        <v>232.74</v>
      </c>
      <c r="H143">
        <v>4414.4620000000004</v>
      </c>
      <c r="I143" s="2">
        <v>45934.124999988424</v>
      </c>
      <c r="J143">
        <v>1028126.44227</v>
      </c>
      <c r="K143">
        <v>2421</v>
      </c>
    </row>
    <row r="144" spans="1:11" x14ac:dyDescent="0.2">
      <c r="A144" s="1">
        <v>45934</v>
      </c>
      <c r="B144" t="s">
        <v>12</v>
      </c>
      <c r="C144" s="2">
        <v>45934.125</v>
      </c>
      <c r="D144">
        <v>232.73</v>
      </c>
      <c r="E144">
        <v>233.7</v>
      </c>
      <c r="F144">
        <v>223.23</v>
      </c>
      <c r="G144">
        <v>227.95</v>
      </c>
      <c r="H144">
        <v>1923.991</v>
      </c>
      <c r="I144" s="2">
        <v>45935.124999988424</v>
      </c>
      <c r="J144">
        <v>438673.86680999998</v>
      </c>
      <c r="K144">
        <v>1263</v>
      </c>
    </row>
    <row r="145" spans="1:11" x14ac:dyDescent="0.2">
      <c r="A145" s="1">
        <v>45935</v>
      </c>
      <c r="B145" t="s">
        <v>12</v>
      </c>
      <c r="C145" s="2">
        <v>45935.125</v>
      </c>
      <c r="D145">
        <v>227.66</v>
      </c>
      <c r="E145">
        <v>236.85</v>
      </c>
      <c r="F145">
        <v>226.67</v>
      </c>
      <c r="G145">
        <v>228.53</v>
      </c>
      <c r="H145">
        <v>3054.0920000000001</v>
      </c>
      <c r="I145" s="2">
        <v>45936.124999988424</v>
      </c>
      <c r="J145">
        <v>708202.03030999994</v>
      </c>
      <c r="K145">
        <v>1659</v>
      </c>
    </row>
    <row r="146" spans="1:11" x14ac:dyDescent="0.2">
      <c r="A146" s="1">
        <v>45936</v>
      </c>
      <c r="B146" t="s">
        <v>12</v>
      </c>
      <c r="C146" s="2">
        <v>45936.125</v>
      </c>
      <c r="D146">
        <v>228.42</v>
      </c>
      <c r="E146">
        <v>237.48</v>
      </c>
      <c r="F146">
        <v>227.76</v>
      </c>
      <c r="G146">
        <v>232.54</v>
      </c>
      <c r="H146">
        <v>3127.623</v>
      </c>
      <c r="I146" s="2">
        <v>45937.124999988424</v>
      </c>
      <c r="J146">
        <v>728928.9129</v>
      </c>
      <c r="K146">
        <v>1655</v>
      </c>
    </row>
    <row r="147" spans="1:11" x14ac:dyDescent="0.2">
      <c r="A147" s="1">
        <v>45937</v>
      </c>
      <c r="B147" t="s">
        <v>12</v>
      </c>
      <c r="C147" s="2">
        <v>45937.125</v>
      </c>
      <c r="D147">
        <v>232.1</v>
      </c>
      <c r="E147">
        <v>235.07</v>
      </c>
      <c r="F147">
        <v>220.08</v>
      </c>
      <c r="G147">
        <v>220.84</v>
      </c>
      <c r="H147">
        <v>4040.9789999999998</v>
      </c>
      <c r="I147" s="2">
        <v>45938.124999988424</v>
      </c>
      <c r="J147">
        <v>917475.95794999995</v>
      </c>
      <c r="K147">
        <v>1885</v>
      </c>
    </row>
    <row r="148" spans="1:11" x14ac:dyDescent="0.2">
      <c r="A148" s="1">
        <v>45938</v>
      </c>
      <c r="B148" t="s">
        <v>12</v>
      </c>
      <c r="C148" s="2">
        <v>45938.125</v>
      </c>
      <c r="D148">
        <v>220.08</v>
      </c>
      <c r="E148">
        <v>229.6</v>
      </c>
      <c r="F148">
        <v>217.14</v>
      </c>
      <c r="G148">
        <v>229.11</v>
      </c>
      <c r="H148">
        <v>10993.788</v>
      </c>
      <c r="I148" s="2">
        <v>45939.124999988424</v>
      </c>
      <c r="J148">
        <v>2444241.5621199999</v>
      </c>
      <c r="K148">
        <v>2132</v>
      </c>
    </row>
    <row r="149" spans="1:11" x14ac:dyDescent="0.2">
      <c r="A149" s="1">
        <v>45939</v>
      </c>
      <c r="B149" t="s">
        <v>12</v>
      </c>
      <c r="C149" s="2">
        <v>45939.125</v>
      </c>
      <c r="D149">
        <v>229.24</v>
      </c>
      <c r="E149">
        <v>229.55</v>
      </c>
      <c r="F149">
        <v>216.63</v>
      </c>
      <c r="G149">
        <v>220.75</v>
      </c>
      <c r="H149">
        <v>4611.0919999999996</v>
      </c>
      <c r="I149" s="2">
        <v>45940.124999988424</v>
      </c>
      <c r="J149">
        <v>1024794.9956</v>
      </c>
      <c r="K149">
        <v>1887</v>
      </c>
    </row>
    <row r="150" spans="1:11" x14ac:dyDescent="0.2">
      <c r="A150" s="1">
        <v>45940</v>
      </c>
      <c r="B150" t="s">
        <v>12</v>
      </c>
      <c r="C150" s="2">
        <v>45940.125</v>
      </c>
      <c r="D150">
        <v>221.1</v>
      </c>
      <c r="E150">
        <v>224.33</v>
      </c>
      <c r="F150">
        <v>188.6</v>
      </c>
      <c r="G150">
        <v>188.66</v>
      </c>
      <c r="H150">
        <v>8105.665</v>
      </c>
      <c r="I150" s="2">
        <v>45941.124999988424</v>
      </c>
      <c r="J150">
        <v>1645066.71206</v>
      </c>
      <c r="K150">
        <v>4474</v>
      </c>
    </row>
    <row r="151" spans="1:11" x14ac:dyDescent="0.2">
      <c r="A151" s="1">
        <v>45941</v>
      </c>
      <c r="B151" t="s">
        <v>12</v>
      </c>
      <c r="C151" s="2">
        <v>45941.125</v>
      </c>
      <c r="D151">
        <v>190.24</v>
      </c>
      <c r="E151">
        <v>192.58</v>
      </c>
      <c r="F151">
        <v>172.81</v>
      </c>
      <c r="G151">
        <v>178.61</v>
      </c>
      <c r="H151">
        <v>6165.8119999999999</v>
      </c>
      <c r="I151" s="2">
        <v>45942.124999988424</v>
      </c>
      <c r="J151">
        <v>1123686.2411700001</v>
      </c>
      <c r="K151">
        <v>4164</v>
      </c>
    </row>
    <row r="152" spans="1:11" x14ac:dyDescent="0.2">
      <c r="A152" s="1">
        <v>45942</v>
      </c>
      <c r="B152" t="s">
        <v>12</v>
      </c>
      <c r="C152" s="2">
        <v>45942.125</v>
      </c>
      <c r="D152">
        <v>177.46</v>
      </c>
      <c r="E152">
        <v>198.87</v>
      </c>
      <c r="F152">
        <v>173.01</v>
      </c>
      <c r="G152">
        <v>197.97</v>
      </c>
      <c r="H152">
        <v>4099.5550000000003</v>
      </c>
      <c r="I152" s="2">
        <v>45943.124999988424</v>
      </c>
      <c r="J152">
        <v>763725.78402000002</v>
      </c>
      <c r="K152">
        <v>3097</v>
      </c>
    </row>
    <row r="153" spans="1:11" x14ac:dyDescent="0.2">
      <c r="A153" s="1">
        <v>45943</v>
      </c>
      <c r="B153" t="s">
        <v>12</v>
      </c>
      <c r="C153" s="2">
        <v>45943.125</v>
      </c>
      <c r="D153">
        <v>196.16</v>
      </c>
      <c r="E153">
        <v>208.97</v>
      </c>
      <c r="F153">
        <v>190.32</v>
      </c>
      <c r="G153">
        <v>208.47</v>
      </c>
      <c r="H153">
        <v>3485.4070000000002</v>
      </c>
      <c r="I153" s="2">
        <v>45944.124999988424</v>
      </c>
      <c r="J153">
        <v>699273.66038000002</v>
      </c>
      <c r="K153">
        <v>2767</v>
      </c>
    </row>
    <row r="154" spans="1:11" x14ac:dyDescent="0.2">
      <c r="A154" s="1">
        <v>45944</v>
      </c>
      <c r="B154" t="s">
        <v>12</v>
      </c>
      <c r="C154" s="2">
        <v>45944.125</v>
      </c>
      <c r="D154">
        <v>208.69</v>
      </c>
      <c r="E154">
        <v>210.94</v>
      </c>
      <c r="F154">
        <v>191.27</v>
      </c>
      <c r="G154">
        <v>202.19</v>
      </c>
      <c r="H154">
        <v>5236.2830000000004</v>
      </c>
      <c r="I154" s="2">
        <v>45945.124999988424</v>
      </c>
      <c r="J154">
        <v>1049553.0548400001</v>
      </c>
      <c r="K154">
        <v>3453</v>
      </c>
    </row>
    <row r="155" spans="1:11" x14ac:dyDescent="0.2">
      <c r="A155" s="1">
        <v>45945</v>
      </c>
      <c r="B155" t="s">
        <v>12</v>
      </c>
      <c r="C155" s="2">
        <v>45945.125</v>
      </c>
      <c r="D155">
        <v>202.59</v>
      </c>
      <c r="E155">
        <v>208.71</v>
      </c>
      <c r="F155">
        <v>192.22</v>
      </c>
      <c r="G155">
        <v>194.1</v>
      </c>
      <c r="H155">
        <v>6003.9520000000002</v>
      </c>
      <c r="I155" s="2">
        <v>45946.124999988424</v>
      </c>
      <c r="J155">
        <v>1203774.2678100001</v>
      </c>
      <c r="K155">
        <v>2280</v>
      </c>
    </row>
    <row r="156" spans="1:11" x14ac:dyDescent="0.2">
      <c r="A156" s="1">
        <v>45946</v>
      </c>
      <c r="B156" t="s">
        <v>12</v>
      </c>
      <c r="C156" s="2">
        <v>45946.125</v>
      </c>
      <c r="D156">
        <v>194.14</v>
      </c>
      <c r="E156">
        <v>198.13</v>
      </c>
      <c r="F156">
        <v>182.22</v>
      </c>
      <c r="G156">
        <v>184.89</v>
      </c>
      <c r="H156">
        <v>5907.1589999999997</v>
      </c>
      <c r="I156" s="2">
        <v>45947.124999988424</v>
      </c>
      <c r="J156">
        <v>1135048.14228</v>
      </c>
      <c r="K156">
        <v>2766</v>
      </c>
    </row>
    <row r="157" spans="1:11" x14ac:dyDescent="0.2">
      <c r="A157" s="1">
        <v>45947</v>
      </c>
      <c r="B157" t="s">
        <v>12</v>
      </c>
      <c r="C157" s="2">
        <v>45947.125</v>
      </c>
      <c r="D157">
        <v>184.67</v>
      </c>
      <c r="E157">
        <v>187.47</v>
      </c>
      <c r="F157">
        <v>174.35</v>
      </c>
      <c r="G157">
        <v>181.97</v>
      </c>
      <c r="H157">
        <v>3585.6350000000002</v>
      </c>
      <c r="I157" s="2">
        <v>45948.124999988424</v>
      </c>
      <c r="J157">
        <v>648799.01376999996</v>
      </c>
      <c r="K157">
        <v>2066</v>
      </c>
    </row>
    <row r="158" spans="1:11" x14ac:dyDescent="0.2">
      <c r="A158" s="1">
        <v>45948</v>
      </c>
      <c r="B158" t="s">
        <v>12</v>
      </c>
      <c r="C158" s="2">
        <v>45948.125</v>
      </c>
      <c r="D158">
        <v>181.91</v>
      </c>
      <c r="E158">
        <v>188.11</v>
      </c>
      <c r="F158">
        <v>181.8</v>
      </c>
      <c r="G158">
        <v>187.64</v>
      </c>
      <c r="H158">
        <v>1272.9079999999999</v>
      </c>
      <c r="I158" s="2">
        <v>45949.124999988424</v>
      </c>
      <c r="J158">
        <v>236218.02371000001</v>
      </c>
      <c r="K158">
        <v>914</v>
      </c>
    </row>
    <row r="159" spans="1:11" x14ac:dyDescent="0.2">
      <c r="A159" s="1">
        <v>45949</v>
      </c>
      <c r="B159" t="s">
        <v>12</v>
      </c>
      <c r="C159" s="2">
        <v>45949.125</v>
      </c>
      <c r="D159">
        <v>187.67</v>
      </c>
      <c r="E159">
        <v>192.07</v>
      </c>
      <c r="F159">
        <v>183.34</v>
      </c>
      <c r="G159">
        <v>187.24</v>
      </c>
      <c r="H159">
        <v>2063.52</v>
      </c>
      <c r="I159" s="2">
        <v>45950.124999988424</v>
      </c>
      <c r="J159">
        <v>386887.01137999998</v>
      </c>
      <c r="K159">
        <v>1115</v>
      </c>
    </row>
    <row r="160" spans="1:11" x14ac:dyDescent="0.2">
      <c r="A160" s="1">
        <v>45950</v>
      </c>
      <c r="B160" t="s">
        <v>12</v>
      </c>
      <c r="C160" s="2">
        <v>45950.125</v>
      </c>
      <c r="D160">
        <v>187.91</v>
      </c>
      <c r="E160">
        <v>194.36</v>
      </c>
      <c r="F160">
        <v>183.97</v>
      </c>
      <c r="G160">
        <v>189.5</v>
      </c>
      <c r="H160">
        <v>3097.047</v>
      </c>
      <c r="I160" s="2">
        <v>45951.124999988424</v>
      </c>
      <c r="J160">
        <v>588683.50619999995</v>
      </c>
      <c r="K160">
        <v>1600</v>
      </c>
    </row>
    <row r="161" spans="1:11" x14ac:dyDescent="0.2">
      <c r="A161" s="1">
        <v>45951</v>
      </c>
      <c r="B161" t="s">
        <v>12</v>
      </c>
      <c r="C161" s="2">
        <v>45951.125</v>
      </c>
      <c r="D161">
        <v>189.37</v>
      </c>
      <c r="E161">
        <v>197.4</v>
      </c>
      <c r="F161">
        <v>182.83</v>
      </c>
      <c r="G161">
        <v>185.39</v>
      </c>
      <c r="H161">
        <v>3185.2359999999999</v>
      </c>
      <c r="I161" s="2">
        <v>45952.124999988424</v>
      </c>
      <c r="J161">
        <v>602465.22956999997</v>
      </c>
      <c r="K161">
        <v>1949</v>
      </c>
    </row>
    <row r="162" spans="1:11" x14ac:dyDescent="0.2">
      <c r="A162" s="1">
        <v>45952</v>
      </c>
      <c r="B162" t="s">
        <v>12</v>
      </c>
      <c r="C162" s="2">
        <v>45952.125</v>
      </c>
      <c r="D162">
        <v>185.25</v>
      </c>
      <c r="E162">
        <v>187.22</v>
      </c>
      <c r="F162">
        <v>177.09</v>
      </c>
      <c r="G162">
        <v>180.01</v>
      </c>
      <c r="H162">
        <v>2730.4259999999999</v>
      </c>
      <c r="I162" s="2">
        <v>45953.124999988424</v>
      </c>
      <c r="J162">
        <v>500626.25942000002</v>
      </c>
      <c r="K162">
        <v>1756</v>
      </c>
    </row>
    <row r="163" spans="1:11" x14ac:dyDescent="0.2">
      <c r="A163" s="1">
        <v>45953</v>
      </c>
      <c r="B163" t="s">
        <v>12</v>
      </c>
      <c r="C163" s="2">
        <v>45953.125</v>
      </c>
      <c r="D163">
        <v>179.95</v>
      </c>
      <c r="E163">
        <v>193.2</v>
      </c>
      <c r="F163">
        <v>179.73</v>
      </c>
      <c r="G163">
        <v>191.13</v>
      </c>
      <c r="H163">
        <v>1789.4190000000001</v>
      </c>
      <c r="I163" s="2">
        <v>45954.124999988424</v>
      </c>
      <c r="J163">
        <v>338167.39515</v>
      </c>
      <c r="K163">
        <v>1466</v>
      </c>
    </row>
    <row r="164" spans="1:11" x14ac:dyDescent="0.2">
      <c r="A164" s="1">
        <v>45954</v>
      </c>
      <c r="B164" t="s">
        <v>12</v>
      </c>
      <c r="C164" s="2">
        <v>45954.125</v>
      </c>
      <c r="D164">
        <v>191.38</v>
      </c>
      <c r="E164">
        <v>196.2</v>
      </c>
      <c r="F164">
        <v>189.01</v>
      </c>
      <c r="G164">
        <v>193.49</v>
      </c>
      <c r="H164">
        <v>3854.4169999999999</v>
      </c>
      <c r="I164" s="2">
        <v>45955.124999988424</v>
      </c>
      <c r="J164">
        <v>741985.72895999998</v>
      </c>
      <c r="K164">
        <v>1529</v>
      </c>
    </row>
    <row r="165" spans="1:11" x14ac:dyDescent="0.2">
      <c r="A165" s="1">
        <v>45955</v>
      </c>
      <c r="B165" t="s">
        <v>12</v>
      </c>
      <c r="C165" s="2">
        <v>45955.125</v>
      </c>
      <c r="D165">
        <v>193.49</v>
      </c>
      <c r="E165">
        <v>195</v>
      </c>
      <c r="F165">
        <v>191.34</v>
      </c>
      <c r="G165">
        <v>194.18</v>
      </c>
      <c r="H165">
        <v>1018.346</v>
      </c>
      <c r="I165" s="2">
        <v>45956.124999988424</v>
      </c>
      <c r="J165">
        <v>197076.86679</v>
      </c>
      <c r="K165">
        <v>888</v>
      </c>
    </row>
    <row r="166" spans="1:11" x14ac:dyDescent="0.2">
      <c r="A166" s="1">
        <v>45956</v>
      </c>
      <c r="B166" t="s">
        <v>12</v>
      </c>
      <c r="C166" s="2">
        <v>45956.125</v>
      </c>
      <c r="D166">
        <v>193.64</v>
      </c>
      <c r="E166">
        <v>202.08</v>
      </c>
      <c r="F166">
        <v>192</v>
      </c>
      <c r="G166">
        <v>200.09</v>
      </c>
      <c r="H166">
        <v>1740.5809999999999</v>
      </c>
      <c r="I166" s="2">
        <v>45957.124999988424</v>
      </c>
      <c r="J166">
        <v>344025.62621000002</v>
      </c>
      <c r="K166">
        <v>1087</v>
      </c>
    </row>
    <row r="167" spans="1:11" x14ac:dyDescent="0.2">
      <c r="A167" s="1">
        <v>45957</v>
      </c>
      <c r="B167" t="s">
        <v>12</v>
      </c>
      <c r="C167" s="2">
        <v>45957.125</v>
      </c>
      <c r="D167">
        <v>199.88</v>
      </c>
      <c r="E167">
        <v>205.12</v>
      </c>
      <c r="F167">
        <v>197.43</v>
      </c>
      <c r="G167">
        <v>198.69</v>
      </c>
      <c r="H167">
        <v>3208.212</v>
      </c>
      <c r="I167" s="2">
        <v>45958.124999988424</v>
      </c>
      <c r="J167">
        <v>641995.77185999998</v>
      </c>
      <c r="K167">
        <v>1096</v>
      </c>
    </row>
    <row r="168" spans="1:11" x14ac:dyDescent="0.2">
      <c r="A168" s="1">
        <v>45958</v>
      </c>
      <c r="B168" t="s">
        <v>12</v>
      </c>
      <c r="C168" s="2">
        <v>45958.125</v>
      </c>
      <c r="D168">
        <v>198.74</v>
      </c>
      <c r="E168">
        <v>203.85</v>
      </c>
      <c r="F168">
        <v>190.6</v>
      </c>
      <c r="G168">
        <v>194.31</v>
      </c>
      <c r="H168">
        <v>2643.3020000000001</v>
      </c>
      <c r="I168" s="2">
        <v>45959.124999988424</v>
      </c>
      <c r="J168">
        <v>521581.62398999999</v>
      </c>
      <c r="K168">
        <v>1355</v>
      </c>
    </row>
    <row r="169" spans="1:11" x14ac:dyDescent="0.2">
      <c r="A169" s="1">
        <v>45959</v>
      </c>
      <c r="B169" t="s">
        <v>12</v>
      </c>
      <c r="C169" s="2">
        <v>45959.125</v>
      </c>
      <c r="D169">
        <v>194.42</v>
      </c>
      <c r="E169">
        <v>201.66</v>
      </c>
      <c r="F169">
        <v>190</v>
      </c>
      <c r="G169">
        <v>194.42</v>
      </c>
      <c r="H169">
        <v>2748.761</v>
      </c>
      <c r="I169" s="2">
        <v>45960.124999988424</v>
      </c>
      <c r="J169">
        <v>539146.34198000003</v>
      </c>
      <c r="K169">
        <v>1553</v>
      </c>
    </row>
    <row r="170" spans="1:11" x14ac:dyDescent="0.2">
      <c r="A170" s="1">
        <v>45960</v>
      </c>
      <c r="B170" t="s">
        <v>12</v>
      </c>
      <c r="C170" s="2">
        <v>45960.125</v>
      </c>
      <c r="D170">
        <v>193.78</v>
      </c>
      <c r="E170">
        <v>198.09</v>
      </c>
      <c r="F170">
        <v>178.69</v>
      </c>
      <c r="G170">
        <v>184.78</v>
      </c>
      <c r="H170">
        <v>4534.5820000000003</v>
      </c>
      <c r="I170" s="2">
        <v>45961.124999988424</v>
      </c>
      <c r="J170">
        <v>839626.95201000001</v>
      </c>
      <c r="K170">
        <v>2436</v>
      </c>
    </row>
    <row r="171" spans="1:11" x14ac:dyDescent="0.2">
      <c r="A171" s="1">
        <v>45961</v>
      </c>
      <c r="B171" t="s">
        <v>12</v>
      </c>
      <c r="C171" s="2">
        <v>45961.125</v>
      </c>
      <c r="D171">
        <v>184.77</v>
      </c>
      <c r="E171">
        <v>190.24</v>
      </c>
      <c r="F171">
        <v>183.87</v>
      </c>
      <c r="G171">
        <v>187.26</v>
      </c>
      <c r="H171">
        <v>6695.0110000000004</v>
      </c>
      <c r="I171" s="2">
        <v>45962.124999988424</v>
      </c>
      <c r="J171">
        <v>1250081.2667799999</v>
      </c>
      <c r="K171">
        <v>1214</v>
      </c>
    </row>
    <row r="172" spans="1:11" x14ac:dyDescent="0.2">
      <c r="A172" s="1">
        <v>45962</v>
      </c>
      <c r="B172" t="s">
        <v>12</v>
      </c>
      <c r="C172" s="2">
        <v>45962.125</v>
      </c>
      <c r="D172">
        <v>187.13</v>
      </c>
      <c r="E172">
        <v>187.43</v>
      </c>
      <c r="F172">
        <v>184</v>
      </c>
      <c r="G172">
        <v>186.47</v>
      </c>
      <c r="H172">
        <v>1469.348</v>
      </c>
      <c r="I172" s="2">
        <v>45963.124999988424</v>
      </c>
      <c r="J172">
        <v>273918.41392999998</v>
      </c>
      <c r="K172">
        <v>584</v>
      </c>
    </row>
    <row r="173" spans="1:11" x14ac:dyDescent="0.2">
      <c r="A173" s="1">
        <v>45963</v>
      </c>
      <c r="B173" t="s">
        <v>12</v>
      </c>
      <c r="C173" s="2">
        <v>45963.125</v>
      </c>
      <c r="D173">
        <v>186.11</v>
      </c>
      <c r="E173">
        <v>188.21</v>
      </c>
      <c r="F173">
        <v>182.22</v>
      </c>
      <c r="G173">
        <v>187.93</v>
      </c>
      <c r="H173">
        <v>937.36599999999999</v>
      </c>
      <c r="I173" s="2">
        <v>45964.124999988424</v>
      </c>
      <c r="J173">
        <v>173380.88805000001</v>
      </c>
      <c r="K173">
        <v>728</v>
      </c>
    </row>
    <row r="174" spans="1:11" x14ac:dyDescent="0.2">
      <c r="A174" s="1">
        <v>45964</v>
      </c>
      <c r="B174" t="s">
        <v>12</v>
      </c>
      <c r="C174" s="2">
        <v>45964.125</v>
      </c>
      <c r="D174">
        <v>187.9</v>
      </c>
      <c r="E174">
        <v>188.94</v>
      </c>
      <c r="F174">
        <v>163.44</v>
      </c>
      <c r="G174">
        <v>166.17</v>
      </c>
      <c r="H174">
        <v>10274.834000000001</v>
      </c>
      <c r="I174" s="2">
        <v>45965.124999988424</v>
      </c>
      <c r="J174">
        <v>1804409.2643299999</v>
      </c>
      <c r="K174">
        <v>2748</v>
      </c>
    </row>
    <row r="175" spans="1:11" x14ac:dyDescent="0.2">
      <c r="A175" s="1">
        <v>45965</v>
      </c>
      <c r="B175" t="s">
        <v>12</v>
      </c>
      <c r="C175" s="2">
        <v>45965.125</v>
      </c>
      <c r="D175">
        <v>166.06</v>
      </c>
      <c r="E175">
        <v>168.43</v>
      </c>
      <c r="F175">
        <v>146.13</v>
      </c>
      <c r="G175">
        <v>155.22999999999999</v>
      </c>
      <c r="H175">
        <v>11185.298000000001</v>
      </c>
      <c r="I175" s="2">
        <v>45966.124999988424</v>
      </c>
      <c r="J175">
        <v>1777813.9161400001</v>
      </c>
      <c r="K175">
        <v>3325</v>
      </c>
    </row>
    <row r="176" spans="1:11" x14ac:dyDescent="0.2">
      <c r="A176" s="1">
        <v>45966</v>
      </c>
      <c r="B176" t="s">
        <v>12</v>
      </c>
      <c r="C176" s="2">
        <v>45966.125</v>
      </c>
      <c r="D176">
        <v>154.97999999999999</v>
      </c>
      <c r="E176">
        <v>164.16</v>
      </c>
      <c r="F176">
        <v>147.41</v>
      </c>
      <c r="G176">
        <v>162.71</v>
      </c>
      <c r="H176">
        <v>9736.4169999999995</v>
      </c>
      <c r="I176" s="2">
        <v>45967.124999988424</v>
      </c>
      <c r="J176">
        <v>1575604.35044</v>
      </c>
      <c r="K176">
        <v>2285</v>
      </c>
    </row>
    <row r="177" spans="1:11" x14ac:dyDescent="0.2">
      <c r="A177" s="1">
        <v>45967</v>
      </c>
      <c r="B177" t="s">
        <v>12</v>
      </c>
      <c r="C177" s="2">
        <v>45967.125</v>
      </c>
      <c r="D177">
        <v>162.41</v>
      </c>
      <c r="E177">
        <v>163.38</v>
      </c>
      <c r="F177">
        <v>153.58000000000001</v>
      </c>
      <c r="G177">
        <v>155.22999999999999</v>
      </c>
      <c r="H177">
        <v>2986.5520000000001</v>
      </c>
      <c r="I177" s="2">
        <v>45968.124999988424</v>
      </c>
      <c r="J177">
        <v>474392.18320999999</v>
      </c>
      <c r="K177">
        <v>1711</v>
      </c>
    </row>
    <row r="178" spans="1:11" x14ac:dyDescent="0.2">
      <c r="A178" s="1">
        <v>45968</v>
      </c>
      <c r="B178" t="s">
        <v>12</v>
      </c>
      <c r="C178" s="2">
        <v>45968.125</v>
      </c>
      <c r="D178">
        <v>155.37</v>
      </c>
      <c r="E178">
        <v>164.29</v>
      </c>
      <c r="F178">
        <v>149.88999999999999</v>
      </c>
      <c r="G178">
        <v>161.85</v>
      </c>
      <c r="H178">
        <v>9080.6350000000002</v>
      </c>
      <c r="I178" s="2">
        <v>45969.124999988424</v>
      </c>
      <c r="J178">
        <v>1431841.96884</v>
      </c>
      <c r="K178">
        <v>1444</v>
      </c>
    </row>
    <row r="179" spans="1:11" x14ac:dyDescent="0.2">
      <c r="A179" s="1">
        <v>45969</v>
      </c>
      <c r="B179" t="s">
        <v>12</v>
      </c>
      <c r="C179" s="2">
        <v>45969.125</v>
      </c>
      <c r="D179">
        <v>161.76</v>
      </c>
      <c r="E179">
        <v>164.8</v>
      </c>
      <c r="F179">
        <v>156.05000000000001</v>
      </c>
      <c r="G179">
        <v>158.22</v>
      </c>
      <c r="H179">
        <v>4194.8739999999998</v>
      </c>
      <c r="I179" s="2">
        <v>45970.124999988424</v>
      </c>
      <c r="J179">
        <v>675871.27719000005</v>
      </c>
      <c r="K179">
        <v>1007</v>
      </c>
    </row>
    <row r="180" spans="1:11" x14ac:dyDescent="0.2">
      <c r="A180" s="1">
        <v>45970</v>
      </c>
      <c r="B180" t="s">
        <v>12</v>
      </c>
      <c r="C180" s="2">
        <v>45970.125</v>
      </c>
      <c r="D180">
        <v>158.11000000000001</v>
      </c>
      <c r="E180">
        <v>169.06</v>
      </c>
      <c r="F180">
        <v>155.41</v>
      </c>
      <c r="G180">
        <v>164.3</v>
      </c>
      <c r="H180">
        <v>3033.8449999999998</v>
      </c>
      <c r="I180" s="2">
        <v>45971.124999988424</v>
      </c>
      <c r="J180">
        <v>488347.18407999998</v>
      </c>
      <c r="K180">
        <v>1359</v>
      </c>
    </row>
    <row r="181" spans="1:11" x14ac:dyDescent="0.2">
      <c r="A181" s="1">
        <v>45971</v>
      </c>
      <c r="B181" t="s">
        <v>12</v>
      </c>
      <c r="C181" s="2">
        <v>45971.125</v>
      </c>
      <c r="D181">
        <v>164.61</v>
      </c>
      <c r="E181">
        <v>170.41</v>
      </c>
      <c r="F181">
        <v>163.69</v>
      </c>
      <c r="G181">
        <v>167.31</v>
      </c>
      <c r="H181">
        <v>2464.5529999999999</v>
      </c>
      <c r="I181" s="2">
        <v>45972.124999988424</v>
      </c>
      <c r="J181">
        <v>412678.40224000002</v>
      </c>
      <c r="K181">
        <v>1435</v>
      </c>
    </row>
    <row r="182" spans="1:11" x14ac:dyDescent="0.2">
      <c r="A182" s="1">
        <v>45972</v>
      </c>
      <c r="B182" t="s">
        <v>12</v>
      </c>
      <c r="C182" s="2">
        <v>45972.125</v>
      </c>
      <c r="D182">
        <v>167.45</v>
      </c>
      <c r="E182">
        <v>171.84</v>
      </c>
      <c r="F182">
        <v>153.91</v>
      </c>
      <c r="G182">
        <v>154.80000000000001</v>
      </c>
      <c r="H182">
        <v>3162.337</v>
      </c>
      <c r="I182" s="2">
        <v>45973.124999988424</v>
      </c>
      <c r="J182">
        <v>511839.79785999999</v>
      </c>
      <c r="K182">
        <v>1250</v>
      </c>
    </row>
    <row r="183" spans="1:11" x14ac:dyDescent="0.2">
      <c r="A183" s="1">
        <v>45973</v>
      </c>
      <c r="B183" t="s">
        <v>12</v>
      </c>
      <c r="C183" s="2">
        <v>45973.125</v>
      </c>
      <c r="D183">
        <v>155.22999999999999</v>
      </c>
      <c r="E183">
        <v>161.25</v>
      </c>
      <c r="F183">
        <v>151.31</v>
      </c>
      <c r="G183">
        <v>153.33000000000001</v>
      </c>
      <c r="H183">
        <v>4182.2740000000003</v>
      </c>
      <c r="I183" s="2">
        <v>45974.124999988424</v>
      </c>
      <c r="J183">
        <v>651632.86247000005</v>
      </c>
      <c r="K183">
        <v>1129</v>
      </c>
    </row>
    <row r="184" spans="1:11" x14ac:dyDescent="0.2">
      <c r="A184" s="1">
        <v>45974</v>
      </c>
      <c r="B184" t="s">
        <v>12</v>
      </c>
      <c r="C184" s="2">
        <v>45974.125</v>
      </c>
      <c r="D184">
        <v>153.38999999999999</v>
      </c>
      <c r="E184">
        <v>157.1</v>
      </c>
      <c r="F184">
        <v>141.11000000000001</v>
      </c>
      <c r="G184">
        <v>144.59</v>
      </c>
      <c r="H184">
        <v>4581.4129999999996</v>
      </c>
      <c r="I184" s="2">
        <v>45975.124999988424</v>
      </c>
      <c r="J184">
        <v>674722.51584999997</v>
      </c>
      <c r="K184">
        <v>1467</v>
      </c>
    </row>
    <row r="185" spans="1:11" x14ac:dyDescent="0.2">
      <c r="A185" s="1">
        <v>45975</v>
      </c>
      <c r="B185" t="s">
        <v>12</v>
      </c>
      <c r="C185" s="2">
        <v>45975.125</v>
      </c>
      <c r="D185">
        <v>144.44</v>
      </c>
      <c r="E185">
        <v>145.58000000000001</v>
      </c>
      <c r="F185">
        <v>136.02000000000001</v>
      </c>
      <c r="G185">
        <v>139.06</v>
      </c>
      <c r="H185">
        <v>2953.0160000000001</v>
      </c>
      <c r="I185" s="2">
        <v>45976.124999988424</v>
      </c>
      <c r="J185">
        <v>414870.25821</v>
      </c>
      <c r="K185">
        <v>1422</v>
      </c>
    </row>
    <row r="186" spans="1:11" x14ac:dyDescent="0.2">
      <c r="A186" s="1">
        <v>45976</v>
      </c>
      <c r="B186" t="s">
        <v>12</v>
      </c>
      <c r="C186" s="2">
        <v>45976.125</v>
      </c>
      <c r="D186">
        <v>138.9</v>
      </c>
      <c r="E186">
        <v>144.59</v>
      </c>
      <c r="F186">
        <v>138.69</v>
      </c>
      <c r="G186">
        <v>139.76</v>
      </c>
      <c r="H186">
        <v>1521.0139999999999</v>
      </c>
      <c r="I186" s="2">
        <v>45977.124999988424</v>
      </c>
      <c r="J186">
        <v>215619.02264000001</v>
      </c>
      <c r="K186">
        <v>1011</v>
      </c>
    </row>
    <row r="187" spans="1:11" x14ac:dyDescent="0.2">
      <c r="A187" s="1">
        <v>45977</v>
      </c>
      <c r="B187" t="s">
        <v>12</v>
      </c>
      <c r="C187" s="2">
        <v>45977.125</v>
      </c>
      <c r="D187">
        <v>139.59</v>
      </c>
      <c r="E187">
        <v>143.21</v>
      </c>
      <c r="F187">
        <v>134.57</v>
      </c>
      <c r="G187">
        <v>137.22999999999999</v>
      </c>
      <c r="H187">
        <v>1865.0619999999999</v>
      </c>
      <c r="I187" s="2">
        <v>45978.124999988424</v>
      </c>
      <c r="J187">
        <v>255796.84276999999</v>
      </c>
      <c r="K187">
        <v>831</v>
      </c>
    </row>
    <row r="188" spans="1:11" x14ac:dyDescent="0.2">
      <c r="A188" s="1">
        <v>45978</v>
      </c>
      <c r="B188" t="s">
        <v>12</v>
      </c>
      <c r="C188" s="2">
        <v>45978.125</v>
      </c>
      <c r="D188">
        <v>137.13</v>
      </c>
      <c r="E188">
        <v>143.07</v>
      </c>
      <c r="F188">
        <v>128.97</v>
      </c>
      <c r="G188">
        <v>131.11000000000001</v>
      </c>
      <c r="H188">
        <v>3859.3330000000001</v>
      </c>
      <c r="I188" s="2">
        <v>45979.124999988424</v>
      </c>
      <c r="J188">
        <v>523219.86015000002</v>
      </c>
      <c r="K188">
        <v>1396</v>
      </c>
    </row>
    <row r="189" spans="1:11" x14ac:dyDescent="0.2">
      <c r="A189" s="1">
        <v>45979</v>
      </c>
      <c r="B189" t="s">
        <v>12</v>
      </c>
      <c r="C189" s="2">
        <v>45979.125</v>
      </c>
      <c r="D189">
        <v>130.97999999999999</v>
      </c>
      <c r="E189">
        <v>142.09</v>
      </c>
      <c r="F189">
        <v>129.12</v>
      </c>
      <c r="G189">
        <v>140.77000000000001</v>
      </c>
      <c r="H189">
        <v>3036.72</v>
      </c>
      <c r="I189" s="2">
        <v>45980.124999988424</v>
      </c>
      <c r="J189">
        <v>416320.83886000002</v>
      </c>
      <c r="K189">
        <v>1576</v>
      </c>
    </row>
    <row r="190" spans="1:11" x14ac:dyDescent="0.2">
      <c r="A190" s="1">
        <v>45980</v>
      </c>
      <c r="B190" t="s">
        <v>12</v>
      </c>
      <c r="C190" s="2">
        <v>45980.125</v>
      </c>
      <c r="D190">
        <v>140.71</v>
      </c>
      <c r="E190">
        <v>142.54</v>
      </c>
      <c r="F190">
        <v>130.47999999999999</v>
      </c>
      <c r="G190">
        <v>137</v>
      </c>
      <c r="H190">
        <v>1802.422</v>
      </c>
      <c r="I190" s="2">
        <v>45981.124999988424</v>
      </c>
      <c r="J190">
        <v>244597.57816999999</v>
      </c>
      <c r="K190">
        <v>806</v>
      </c>
    </row>
    <row r="191" spans="1:11" x14ac:dyDescent="0.2">
      <c r="A191" s="1">
        <v>45981</v>
      </c>
      <c r="B191" t="s">
        <v>12</v>
      </c>
      <c r="C191" s="2">
        <v>45981.125</v>
      </c>
      <c r="D191">
        <v>136.80000000000001</v>
      </c>
      <c r="E191">
        <v>144.59</v>
      </c>
      <c r="F191">
        <v>131.22</v>
      </c>
      <c r="G191">
        <v>133.87</v>
      </c>
      <c r="H191">
        <v>4140.2560000000003</v>
      </c>
      <c r="I191" s="2">
        <v>45982.124999988424</v>
      </c>
      <c r="J191">
        <v>568469.00335999997</v>
      </c>
      <c r="K191">
        <v>1249</v>
      </c>
    </row>
    <row r="192" spans="1:11" x14ac:dyDescent="0.2">
      <c r="A192" s="1">
        <v>45982</v>
      </c>
      <c r="B192" t="s">
        <v>12</v>
      </c>
      <c r="C192" s="2">
        <v>45982.125</v>
      </c>
      <c r="D192">
        <v>134.26</v>
      </c>
      <c r="E192">
        <v>134.9</v>
      </c>
      <c r="F192">
        <v>121.75</v>
      </c>
      <c r="G192">
        <v>128.65</v>
      </c>
      <c r="H192">
        <v>5998.34</v>
      </c>
      <c r="I192" s="2">
        <v>45983.124999988424</v>
      </c>
      <c r="J192">
        <v>763867.59363000002</v>
      </c>
      <c r="K192">
        <v>1757</v>
      </c>
    </row>
    <row r="193" spans="1:11" x14ac:dyDescent="0.2">
      <c r="A193" s="1">
        <v>45983</v>
      </c>
      <c r="B193" t="s">
        <v>12</v>
      </c>
      <c r="C193" s="2">
        <v>45983.125</v>
      </c>
      <c r="D193">
        <v>128.84</v>
      </c>
      <c r="E193">
        <v>129.72</v>
      </c>
      <c r="F193">
        <v>125.23</v>
      </c>
      <c r="G193">
        <v>127.73</v>
      </c>
      <c r="H193">
        <v>1871.268</v>
      </c>
      <c r="I193" s="2">
        <v>45984.124999988424</v>
      </c>
      <c r="J193">
        <v>237580.69174000001</v>
      </c>
      <c r="K193">
        <v>754</v>
      </c>
    </row>
    <row r="194" spans="1:11" x14ac:dyDescent="0.2">
      <c r="A194" s="1">
        <v>45984</v>
      </c>
      <c r="B194" t="s">
        <v>12</v>
      </c>
      <c r="C194" s="2">
        <v>45984.125</v>
      </c>
      <c r="D194">
        <v>127.64</v>
      </c>
      <c r="E194">
        <v>133.43</v>
      </c>
      <c r="F194">
        <v>127.53</v>
      </c>
      <c r="G194">
        <v>130.76</v>
      </c>
      <c r="H194">
        <v>3553.2759999999998</v>
      </c>
      <c r="I194" s="2">
        <v>45985.124999988424</v>
      </c>
      <c r="J194">
        <v>464519.76792000001</v>
      </c>
      <c r="K194">
        <v>1120</v>
      </c>
    </row>
    <row r="195" spans="1:11" x14ac:dyDescent="0.2">
      <c r="A195" s="1">
        <v>45985</v>
      </c>
      <c r="B195" t="s">
        <v>12</v>
      </c>
      <c r="C195" s="2">
        <v>45985.125</v>
      </c>
      <c r="D195">
        <v>130.71</v>
      </c>
      <c r="E195">
        <v>139.77000000000001</v>
      </c>
      <c r="F195">
        <v>128.58000000000001</v>
      </c>
      <c r="G195">
        <v>138.4</v>
      </c>
      <c r="H195">
        <v>4827.9589999999998</v>
      </c>
      <c r="I195" s="2">
        <v>45986.124999988424</v>
      </c>
      <c r="J195">
        <v>646713.43659000006</v>
      </c>
      <c r="K195">
        <v>1086</v>
      </c>
    </row>
    <row r="196" spans="1:11" x14ac:dyDescent="0.2">
      <c r="A196" s="1">
        <v>45986</v>
      </c>
      <c r="B196" t="s">
        <v>12</v>
      </c>
      <c r="C196" s="2">
        <v>45986.125</v>
      </c>
      <c r="D196">
        <v>138.5</v>
      </c>
      <c r="E196">
        <v>140.41</v>
      </c>
      <c r="F196">
        <v>133.30000000000001</v>
      </c>
      <c r="G196">
        <v>139.06</v>
      </c>
      <c r="H196">
        <v>3147.2959999999998</v>
      </c>
      <c r="I196" s="2">
        <v>45987.124999988424</v>
      </c>
      <c r="J196">
        <v>432351.05446000001</v>
      </c>
      <c r="K196">
        <v>816</v>
      </c>
    </row>
    <row r="197" spans="1:11" x14ac:dyDescent="0.2">
      <c r="A197" s="1">
        <v>45987</v>
      </c>
      <c r="B197" t="s">
        <v>12</v>
      </c>
      <c r="C197" s="2">
        <v>45987.125</v>
      </c>
      <c r="D197">
        <v>139.02000000000001</v>
      </c>
      <c r="E197">
        <v>144.65</v>
      </c>
      <c r="F197">
        <v>135.63</v>
      </c>
      <c r="G197">
        <v>142.97999999999999</v>
      </c>
      <c r="H197">
        <v>3990.3710000000001</v>
      </c>
      <c r="I197" s="2">
        <v>45988.124999988424</v>
      </c>
      <c r="J197">
        <v>561032.16549000004</v>
      </c>
      <c r="K197">
        <v>931</v>
      </c>
    </row>
    <row r="198" spans="1:11" x14ac:dyDescent="0.2">
      <c r="A198" s="1">
        <v>45988</v>
      </c>
      <c r="B198" t="s">
        <v>12</v>
      </c>
      <c r="C198" s="2">
        <v>45988.125</v>
      </c>
      <c r="D198">
        <v>142.97</v>
      </c>
      <c r="E198">
        <v>144.21</v>
      </c>
      <c r="F198">
        <v>140.56</v>
      </c>
      <c r="G198">
        <v>141.19</v>
      </c>
      <c r="H198">
        <v>1381.5920000000001</v>
      </c>
      <c r="I198" s="2">
        <v>45989.124999988424</v>
      </c>
      <c r="J198">
        <v>196692.29126</v>
      </c>
      <c r="K198">
        <v>558</v>
      </c>
    </row>
    <row r="199" spans="1:11" x14ac:dyDescent="0.2">
      <c r="A199" s="1">
        <v>45989</v>
      </c>
      <c r="B199" t="s">
        <v>12</v>
      </c>
      <c r="C199" s="2">
        <v>45989.125</v>
      </c>
      <c r="D199">
        <v>140.81</v>
      </c>
      <c r="E199">
        <v>143.5</v>
      </c>
      <c r="F199">
        <v>136.11000000000001</v>
      </c>
      <c r="G199">
        <v>137.5</v>
      </c>
      <c r="H199">
        <v>2464.453</v>
      </c>
      <c r="I199" s="2">
        <v>45990.124999988424</v>
      </c>
      <c r="J199">
        <v>343308.92345</v>
      </c>
      <c r="K199">
        <v>890</v>
      </c>
    </row>
    <row r="200" spans="1:11" x14ac:dyDescent="0.2">
      <c r="A200" s="1">
        <v>45990</v>
      </c>
      <c r="B200" t="s">
        <v>12</v>
      </c>
      <c r="C200" s="2">
        <v>45990.125</v>
      </c>
      <c r="D200">
        <v>137.47</v>
      </c>
      <c r="E200">
        <v>137.94999999999999</v>
      </c>
      <c r="F200">
        <v>134.88</v>
      </c>
      <c r="G200">
        <v>136.08000000000001</v>
      </c>
      <c r="H200">
        <v>2011.4190000000001</v>
      </c>
      <c r="I200" s="2">
        <v>45991.124999988424</v>
      </c>
      <c r="J200">
        <v>275500.08964000002</v>
      </c>
      <c r="K200">
        <v>577</v>
      </c>
    </row>
    <row r="201" spans="1:11" x14ac:dyDescent="0.2">
      <c r="A201" s="1">
        <v>45991</v>
      </c>
      <c r="B201" t="s">
        <v>12</v>
      </c>
      <c r="C201" s="2">
        <v>45991.125</v>
      </c>
      <c r="D201">
        <v>135.87</v>
      </c>
      <c r="E201">
        <v>140.11000000000001</v>
      </c>
      <c r="F201">
        <v>133.41</v>
      </c>
      <c r="G201">
        <v>133.41</v>
      </c>
      <c r="H201">
        <v>1594.875</v>
      </c>
      <c r="I201" s="2">
        <v>45992.124999988424</v>
      </c>
      <c r="J201">
        <v>218892.54448000001</v>
      </c>
      <c r="K201">
        <v>687</v>
      </c>
    </row>
    <row r="202" spans="1:11" x14ac:dyDescent="0.2">
      <c r="A202" s="1">
        <v>45992</v>
      </c>
      <c r="B202" t="s">
        <v>12</v>
      </c>
      <c r="C202" s="2">
        <v>45992.125</v>
      </c>
      <c r="D202">
        <v>133.41</v>
      </c>
      <c r="E202">
        <v>133.80000000000001</v>
      </c>
      <c r="F202">
        <v>123.3</v>
      </c>
      <c r="G202">
        <v>126.8</v>
      </c>
      <c r="H202">
        <v>6554.67</v>
      </c>
      <c r="I202" s="2">
        <v>45993.124999988424</v>
      </c>
      <c r="J202">
        <v>831822.35644999996</v>
      </c>
      <c r="K202">
        <v>2416</v>
      </c>
    </row>
    <row r="203" spans="1:11" x14ac:dyDescent="0.2">
      <c r="A203" s="1">
        <v>45993</v>
      </c>
      <c r="B203" t="s">
        <v>12</v>
      </c>
      <c r="C203" s="2">
        <v>45993.125</v>
      </c>
      <c r="D203">
        <v>126.69</v>
      </c>
      <c r="E203">
        <v>140.78</v>
      </c>
      <c r="F203">
        <v>126.06</v>
      </c>
      <c r="G203">
        <v>138.54</v>
      </c>
      <c r="H203">
        <v>3034.8760000000002</v>
      </c>
      <c r="I203" s="2">
        <v>45994.124999988424</v>
      </c>
      <c r="J203">
        <v>405649.67258000001</v>
      </c>
      <c r="K203">
        <v>1056</v>
      </c>
    </row>
    <row r="204" spans="1:11" x14ac:dyDescent="0.2">
      <c r="A204" s="1">
        <v>45994</v>
      </c>
      <c r="B204" t="s">
        <v>12</v>
      </c>
      <c r="C204" s="2">
        <v>45994.125</v>
      </c>
      <c r="D204">
        <v>138.61000000000001</v>
      </c>
      <c r="E204">
        <v>145.93</v>
      </c>
      <c r="F204">
        <v>137.85</v>
      </c>
      <c r="G204">
        <v>145.12</v>
      </c>
      <c r="H204">
        <v>4238.0479999999998</v>
      </c>
      <c r="I204" s="2">
        <v>45995.124999988424</v>
      </c>
      <c r="J204">
        <v>599519.88089999999</v>
      </c>
      <c r="K204">
        <v>1108</v>
      </c>
    </row>
    <row r="205" spans="1:11" x14ac:dyDescent="0.2">
      <c r="A205" s="1">
        <v>45995</v>
      </c>
      <c r="B205" t="s">
        <v>12</v>
      </c>
      <c r="C205" s="2">
        <v>45995.125</v>
      </c>
      <c r="D205">
        <v>144.72999999999999</v>
      </c>
      <c r="E205">
        <v>146.85</v>
      </c>
      <c r="F205">
        <v>137.79</v>
      </c>
      <c r="G205">
        <v>138.97999999999999</v>
      </c>
      <c r="H205">
        <v>1823.76</v>
      </c>
      <c r="I205" s="2">
        <v>45996.124999988424</v>
      </c>
      <c r="J205">
        <v>258483.35472999999</v>
      </c>
      <c r="K205">
        <v>703</v>
      </c>
    </row>
    <row r="206" spans="1:11" x14ac:dyDescent="0.2">
      <c r="A206" s="1">
        <v>45996</v>
      </c>
      <c r="B206" t="s">
        <v>12</v>
      </c>
      <c r="C206" s="2">
        <v>45996.125</v>
      </c>
      <c r="D206">
        <v>139.11000000000001</v>
      </c>
      <c r="E206">
        <v>140.66999999999999</v>
      </c>
      <c r="F206">
        <v>130.93</v>
      </c>
      <c r="G206">
        <v>133.08000000000001</v>
      </c>
      <c r="H206">
        <v>2357.9850000000001</v>
      </c>
      <c r="I206" s="2">
        <v>45997.124999988424</v>
      </c>
      <c r="J206">
        <v>316323.97365</v>
      </c>
      <c r="K206">
        <v>717</v>
      </c>
    </row>
    <row r="207" spans="1:11" x14ac:dyDescent="0.2">
      <c r="A207" s="1">
        <v>45997</v>
      </c>
      <c r="B207" t="s">
        <v>12</v>
      </c>
      <c r="C207" s="2">
        <v>45997.125</v>
      </c>
      <c r="D207">
        <v>133.15</v>
      </c>
      <c r="E207">
        <v>134.12</v>
      </c>
      <c r="F207">
        <v>131.28</v>
      </c>
      <c r="G207">
        <v>132.38</v>
      </c>
      <c r="H207">
        <v>733.56799999999998</v>
      </c>
      <c r="I207" s="2">
        <v>45998.124999988424</v>
      </c>
      <c r="J207">
        <v>97387.449359999999</v>
      </c>
      <c r="K207">
        <v>791</v>
      </c>
    </row>
    <row r="208" spans="1:11" x14ac:dyDescent="0.2">
      <c r="A208" s="1">
        <v>45998</v>
      </c>
      <c r="B208" t="s">
        <v>12</v>
      </c>
      <c r="C208" s="2">
        <v>45998.125</v>
      </c>
      <c r="D208">
        <v>132.19</v>
      </c>
      <c r="E208">
        <v>136.26</v>
      </c>
      <c r="F208">
        <v>127.7</v>
      </c>
      <c r="G208">
        <v>132.24</v>
      </c>
      <c r="H208">
        <v>1743.117</v>
      </c>
      <c r="I208" s="2">
        <v>45999.124999988424</v>
      </c>
      <c r="J208">
        <v>228802.21744000001</v>
      </c>
      <c r="K208">
        <v>1331</v>
      </c>
    </row>
    <row r="209" spans="1:11" x14ac:dyDescent="0.2">
      <c r="A209" s="1">
        <v>45999</v>
      </c>
      <c r="B209" t="s">
        <v>12</v>
      </c>
      <c r="C209" s="2">
        <v>45999.125</v>
      </c>
      <c r="D209">
        <v>131.99</v>
      </c>
      <c r="E209">
        <v>139.28</v>
      </c>
      <c r="F209">
        <v>131.57</v>
      </c>
      <c r="G209">
        <v>133.30000000000001</v>
      </c>
      <c r="H209">
        <v>1602.49</v>
      </c>
      <c r="I209" s="2">
        <v>46000.124999988424</v>
      </c>
      <c r="J209">
        <v>216895.52335999999</v>
      </c>
      <c r="K209">
        <v>796</v>
      </c>
    </row>
    <row r="210" spans="1:11" x14ac:dyDescent="0.2">
      <c r="A210" s="1">
        <v>46000</v>
      </c>
      <c r="B210" t="s">
        <v>12</v>
      </c>
      <c r="C210" s="2">
        <v>46000.125</v>
      </c>
      <c r="D210">
        <v>133.08000000000001</v>
      </c>
      <c r="E210">
        <v>144.78</v>
      </c>
      <c r="F210">
        <v>131.72999999999999</v>
      </c>
      <c r="G210">
        <v>137.93</v>
      </c>
      <c r="H210">
        <v>2316.3380000000002</v>
      </c>
      <c r="I210" s="2">
        <v>46001.124999988424</v>
      </c>
      <c r="J210">
        <v>322302.14181</v>
      </c>
      <c r="K210">
        <v>1029</v>
      </c>
    </row>
    <row r="211" spans="1:11" x14ac:dyDescent="0.2">
      <c r="A211" s="1">
        <v>46001</v>
      </c>
      <c r="B211" t="s">
        <v>12</v>
      </c>
      <c r="C211" s="2">
        <v>46001.125</v>
      </c>
      <c r="D211">
        <v>137.93</v>
      </c>
      <c r="E211">
        <v>142.61000000000001</v>
      </c>
      <c r="F211">
        <v>135.53</v>
      </c>
      <c r="G211">
        <v>136.31</v>
      </c>
      <c r="H211">
        <v>1629.0319999999999</v>
      </c>
      <c r="I211" s="2">
        <v>46002.124999988424</v>
      </c>
      <c r="J211">
        <v>225098.1453</v>
      </c>
      <c r="K211">
        <v>837</v>
      </c>
    </row>
    <row r="212" spans="1:11" x14ac:dyDescent="0.2">
      <c r="A212" s="1">
        <v>46002</v>
      </c>
      <c r="B212" t="s">
        <v>12</v>
      </c>
      <c r="C212" s="2">
        <v>46002.125</v>
      </c>
      <c r="D212">
        <v>136.26</v>
      </c>
      <c r="E212">
        <v>137.78</v>
      </c>
      <c r="F212">
        <v>129.19</v>
      </c>
      <c r="G212">
        <v>136.19</v>
      </c>
      <c r="H212">
        <v>2346.0320000000002</v>
      </c>
      <c r="I212" s="2">
        <v>46003.124999988424</v>
      </c>
      <c r="J212">
        <v>312077.40558999998</v>
      </c>
      <c r="K212">
        <v>1075</v>
      </c>
    </row>
    <row r="213" spans="1:11" x14ac:dyDescent="0.2">
      <c r="A213" s="1">
        <v>46003</v>
      </c>
      <c r="B213" t="s">
        <v>12</v>
      </c>
      <c r="C213" s="2">
        <v>46003.125</v>
      </c>
      <c r="D213">
        <v>136.35</v>
      </c>
      <c r="E213">
        <v>140.04</v>
      </c>
      <c r="F213">
        <v>130.43</v>
      </c>
      <c r="G213">
        <v>132.38</v>
      </c>
      <c r="H213">
        <v>2041.5440000000001</v>
      </c>
      <c r="I213" s="2">
        <v>46004.124999988424</v>
      </c>
      <c r="J213">
        <v>275686.71176999999</v>
      </c>
      <c r="K213">
        <v>972</v>
      </c>
    </row>
    <row r="214" spans="1:11" x14ac:dyDescent="0.2">
      <c r="A214" s="1">
        <v>46004</v>
      </c>
      <c r="B214" t="s">
        <v>12</v>
      </c>
      <c r="C214" s="2">
        <v>46004.125</v>
      </c>
      <c r="D214">
        <v>132.65</v>
      </c>
      <c r="E214">
        <v>134.27000000000001</v>
      </c>
      <c r="F214">
        <v>131.71</v>
      </c>
      <c r="G214">
        <v>133.13999999999999</v>
      </c>
      <c r="H214">
        <v>986.34799999999996</v>
      </c>
      <c r="I214" s="2">
        <v>46005.124999988424</v>
      </c>
      <c r="J214">
        <v>130952.37053</v>
      </c>
      <c r="K214">
        <v>339</v>
      </c>
    </row>
    <row r="215" spans="1:11" x14ac:dyDescent="0.2">
      <c r="A215" s="1">
        <v>46005</v>
      </c>
      <c r="B215" t="s">
        <v>12</v>
      </c>
      <c r="C215" s="2">
        <v>46005.125</v>
      </c>
      <c r="D215">
        <v>132.66999999999999</v>
      </c>
      <c r="E215">
        <v>133.62</v>
      </c>
      <c r="F215">
        <v>128.06</v>
      </c>
      <c r="G215">
        <v>129.66999999999999</v>
      </c>
      <c r="H215">
        <v>1029.2840000000001</v>
      </c>
      <c r="I215" s="2">
        <v>46006.124999988424</v>
      </c>
      <c r="J215">
        <v>134356.75025000001</v>
      </c>
      <c r="K215">
        <v>446</v>
      </c>
    </row>
    <row r="216" spans="1:11" x14ac:dyDescent="0.2">
      <c r="A216" s="1">
        <v>46006</v>
      </c>
      <c r="B216" t="s">
        <v>12</v>
      </c>
      <c r="C216" s="2">
        <v>46006.125</v>
      </c>
      <c r="D216">
        <v>129.38999999999999</v>
      </c>
      <c r="E216">
        <v>135.26</v>
      </c>
      <c r="F216">
        <v>123.7</v>
      </c>
      <c r="G216">
        <v>127.66</v>
      </c>
      <c r="H216">
        <v>4346.7790000000005</v>
      </c>
      <c r="I216" s="2">
        <v>46007.124999988424</v>
      </c>
      <c r="J216">
        <v>548946.68859999999</v>
      </c>
      <c r="K216">
        <v>990</v>
      </c>
    </row>
    <row r="217" spans="1:11" x14ac:dyDescent="0.2">
      <c r="A217" s="1">
        <v>46007</v>
      </c>
      <c r="B217" t="s">
        <v>12</v>
      </c>
      <c r="C217" s="2">
        <v>46007.125</v>
      </c>
      <c r="D217">
        <v>127.53</v>
      </c>
      <c r="E217">
        <v>130.03</v>
      </c>
      <c r="F217">
        <v>124.95</v>
      </c>
      <c r="G217">
        <v>129.34</v>
      </c>
      <c r="H217">
        <v>1307.8520000000001</v>
      </c>
      <c r="I217" s="2">
        <v>46008.124999988424</v>
      </c>
      <c r="J217">
        <v>166795.79926</v>
      </c>
      <c r="K217">
        <v>522</v>
      </c>
    </row>
    <row r="218" spans="1:11" x14ac:dyDescent="0.2">
      <c r="A218" s="1">
        <v>46008</v>
      </c>
      <c r="B218" t="s">
        <v>12</v>
      </c>
      <c r="C218" s="2">
        <v>46008.125</v>
      </c>
      <c r="D218">
        <v>128.75</v>
      </c>
      <c r="E218">
        <v>134.30000000000001</v>
      </c>
      <c r="F218">
        <v>121.45</v>
      </c>
      <c r="G218">
        <v>123.17</v>
      </c>
      <c r="H218">
        <v>4142.2759999999998</v>
      </c>
      <c r="I218" s="2">
        <v>46009.124999988424</v>
      </c>
      <c r="J218">
        <v>526380.55458999996</v>
      </c>
      <c r="K218">
        <v>1109</v>
      </c>
    </row>
    <row r="219" spans="1:11" x14ac:dyDescent="0.2">
      <c r="A219" s="1">
        <v>46009</v>
      </c>
      <c r="B219" t="s">
        <v>12</v>
      </c>
      <c r="C219" s="2">
        <v>46009.125</v>
      </c>
      <c r="D219">
        <v>123.36</v>
      </c>
      <c r="E219">
        <v>128.94999999999999</v>
      </c>
      <c r="F219">
        <v>117</v>
      </c>
      <c r="G219">
        <v>119.69</v>
      </c>
      <c r="H219">
        <v>4851.8069999999998</v>
      </c>
      <c r="I219" s="2">
        <v>46010.124999988424</v>
      </c>
      <c r="J219">
        <v>594067.57842000003</v>
      </c>
      <c r="K219">
        <v>1113</v>
      </c>
    </row>
    <row r="220" spans="1:11" x14ac:dyDescent="0.2">
      <c r="A220" s="1">
        <v>46010</v>
      </c>
      <c r="B220" t="s">
        <v>12</v>
      </c>
      <c r="C220" s="2">
        <v>46010.125</v>
      </c>
      <c r="D220">
        <v>119.6</v>
      </c>
      <c r="E220">
        <v>127.77</v>
      </c>
      <c r="F220">
        <v>117.77</v>
      </c>
      <c r="G220">
        <v>126.29</v>
      </c>
      <c r="H220">
        <v>1409.6780000000001</v>
      </c>
      <c r="I220" s="2">
        <v>46011.124999988424</v>
      </c>
      <c r="J220">
        <v>175570.78164</v>
      </c>
      <c r="K220">
        <v>684</v>
      </c>
    </row>
    <row r="221" spans="1:11" x14ac:dyDescent="0.2">
      <c r="A221" s="1">
        <v>46011</v>
      </c>
      <c r="B221" t="s">
        <v>12</v>
      </c>
      <c r="C221" s="2">
        <v>46011.125</v>
      </c>
      <c r="D221">
        <v>126.13</v>
      </c>
      <c r="E221">
        <v>126.84</v>
      </c>
      <c r="F221">
        <v>125.39</v>
      </c>
      <c r="G221">
        <v>125.92</v>
      </c>
      <c r="H221">
        <v>508.774</v>
      </c>
      <c r="I221" s="2">
        <v>46012.124999988424</v>
      </c>
      <c r="J221">
        <v>64226.473180000001</v>
      </c>
      <c r="K221">
        <v>244</v>
      </c>
    </row>
    <row r="222" spans="1:11" x14ac:dyDescent="0.2">
      <c r="A222" s="1">
        <v>46012</v>
      </c>
      <c r="B222" t="s">
        <v>12</v>
      </c>
      <c r="C222" s="2">
        <v>46012.125</v>
      </c>
      <c r="D222">
        <v>125.83</v>
      </c>
      <c r="E222">
        <v>126.45</v>
      </c>
      <c r="F222">
        <v>123.54</v>
      </c>
      <c r="G222">
        <v>126.11</v>
      </c>
      <c r="H222">
        <v>1580.2360000000001</v>
      </c>
      <c r="I222" s="2">
        <v>46013.124999988424</v>
      </c>
      <c r="J222">
        <v>197611.26168</v>
      </c>
      <c r="K222">
        <v>383</v>
      </c>
    </row>
    <row r="223" spans="1:11" x14ac:dyDescent="0.2">
      <c r="A223" s="1">
        <v>46013</v>
      </c>
      <c r="B223" t="s">
        <v>12</v>
      </c>
      <c r="C223" s="2">
        <v>46013.125</v>
      </c>
      <c r="D223">
        <v>126.09</v>
      </c>
      <c r="E223">
        <v>128.61000000000001</v>
      </c>
      <c r="F223">
        <v>124.31</v>
      </c>
      <c r="G223">
        <v>125.96</v>
      </c>
      <c r="H223">
        <v>3223.7240000000002</v>
      </c>
      <c r="I223" s="2">
        <v>46014.124999988424</v>
      </c>
      <c r="J223">
        <v>410292.21561000001</v>
      </c>
      <c r="K223">
        <v>576</v>
      </c>
    </row>
    <row r="224" spans="1:11" x14ac:dyDescent="0.2">
      <c r="A224" s="1">
        <v>46014</v>
      </c>
      <c r="B224" t="s">
        <v>12</v>
      </c>
      <c r="C224" s="2">
        <v>46014.125</v>
      </c>
      <c r="D224">
        <v>126.03</v>
      </c>
      <c r="E224">
        <v>126.82</v>
      </c>
      <c r="F224">
        <v>122.22</v>
      </c>
      <c r="G224">
        <v>123.86</v>
      </c>
      <c r="H224">
        <v>1583.03</v>
      </c>
      <c r="I224" s="2">
        <v>46015.124999988424</v>
      </c>
      <c r="J224">
        <v>196082.95761000001</v>
      </c>
      <c r="K224">
        <v>432</v>
      </c>
    </row>
    <row r="225" spans="1:11" x14ac:dyDescent="0.2">
      <c r="A225" s="1">
        <v>46015</v>
      </c>
      <c r="B225" t="s">
        <v>12</v>
      </c>
      <c r="C225" s="2">
        <v>46015.125</v>
      </c>
      <c r="D225">
        <v>124.1</v>
      </c>
      <c r="E225">
        <v>124.1</v>
      </c>
      <c r="F225">
        <v>120.72</v>
      </c>
      <c r="G225">
        <v>122.54</v>
      </c>
      <c r="H225">
        <v>853.11500000000001</v>
      </c>
      <c r="I225" s="2">
        <v>46016.124999988424</v>
      </c>
      <c r="J225">
        <v>104643.87432</v>
      </c>
      <c r="K225">
        <v>354</v>
      </c>
    </row>
    <row r="226" spans="1:11" x14ac:dyDescent="0.2">
      <c r="A226" s="1">
        <v>46016</v>
      </c>
      <c r="B226" t="s">
        <v>12</v>
      </c>
      <c r="C226" s="2">
        <v>46016.125</v>
      </c>
      <c r="D226">
        <v>122.36</v>
      </c>
      <c r="E226">
        <v>124.33</v>
      </c>
      <c r="F226">
        <v>119.8</v>
      </c>
      <c r="G226">
        <v>120</v>
      </c>
      <c r="H226">
        <v>652.53</v>
      </c>
      <c r="I226" s="2">
        <v>46017.124999988424</v>
      </c>
      <c r="J226">
        <v>79933.57746</v>
      </c>
      <c r="K226">
        <v>374</v>
      </c>
    </row>
    <row r="227" spans="1:11" x14ac:dyDescent="0.2">
      <c r="A227" s="1">
        <v>46017</v>
      </c>
      <c r="B227" t="s">
        <v>12</v>
      </c>
      <c r="C227" s="2">
        <v>46017.125</v>
      </c>
      <c r="D227">
        <v>120.04</v>
      </c>
      <c r="E227">
        <v>125.11</v>
      </c>
      <c r="F227">
        <v>119.4</v>
      </c>
      <c r="G227">
        <v>122.18</v>
      </c>
      <c r="H227">
        <v>1819.336</v>
      </c>
      <c r="I227" s="2">
        <v>46018.124999988424</v>
      </c>
      <c r="J227">
        <v>221741.68995999999</v>
      </c>
      <c r="K227">
        <v>510</v>
      </c>
    </row>
    <row r="228" spans="1:11" x14ac:dyDescent="0.2">
      <c r="A228" s="1">
        <v>46018</v>
      </c>
      <c r="B228" t="s">
        <v>12</v>
      </c>
      <c r="C228" s="2">
        <v>46018.125</v>
      </c>
      <c r="D228">
        <v>122.37</v>
      </c>
      <c r="E228">
        <v>125.12</v>
      </c>
      <c r="F228">
        <v>121.91</v>
      </c>
      <c r="G228">
        <v>124.67</v>
      </c>
      <c r="H228">
        <v>983.255</v>
      </c>
      <c r="I228" s="2">
        <v>46019.124999988424</v>
      </c>
      <c r="J228">
        <v>121091.06849999999</v>
      </c>
      <c r="K228">
        <v>316</v>
      </c>
    </row>
    <row r="229" spans="1:11" x14ac:dyDescent="0.2">
      <c r="A229" s="1">
        <v>46019</v>
      </c>
      <c r="B229" t="s">
        <v>12</v>
      </c>
      <c r="C229" s="2">
        <v>46019.125</v>
      </c>
      <c r="D229">
        <v>124.66</v>
      </c>
      <c r="E229">
        <v>125.59</v>
      </c>
      <c r="F229">
        <v>123.18</v>
      </c>
      <c r="G229">
        <v>125.34</v>
      </c>
      <c r="H229">
        <v>675.98500000000001</v>
      </c>
      <c r="I229" s="2">
        <v>46020.124999988424</v>
      </c>
      <c r="J229">
        <v>83909.966799999995</v>
      </c>
      <c r="K229">
        <v>256</v>
      </c>
    </row>
    <row r="230" spans="1:11" x14ac:dyDescent="0.2">
      <c r="A230" s="1">
        <v>46020</v>
      </c>
      <c r="B230" t="s">
        <v>12</v>
      </c>
      <c r="C230" s="2">
        <v>46020.125</v>
      </c>
      <c r="D230">
        <v>125.34</v>
      </c>
      <c r="E230">
        <v>130</v>
      </c>
      <c r="F230">
        <v>122.48</v>
      </c>
      <c r="G230">
        <v>123.26</v>
      </c>
      <c r="H230">
        <v>2937.9879999999998</v>
      </c>
      <c r="I230" s="2">
        <v>46021.124999988424</v>
      </c>
      <c r="J230">
        <v>372066.05002000002</v>
      </c>
      <c r="K230">
        <v>767</v>
      </c>
    </row>
    <row r="231" spans="1:11" x14ac:dyDescent="0.2">
      <c r="A231" s="1">
        <v>46021</v>
      </c>
      <c r="B231" t="s">
        <v>12</v>
      </c>
      <c r="C231" s="2">
        <v>46021.125</v>
      </c>
      <c r="D231">
        <v>123.19</v>
      </c>
      <c r="E231">
        <v>126.44</v>
      </c>
      <c r="F231">
        <v>122.54</v>
      </c>
      <c r="G231">
        <v>124.99</v>
      </c>
      <c r="H231">
        <v>3025.165</v>
      </c>
      <c r="I231" s="2">
        <v>46022.124999988424</v>
      </c>
      <c r="J231">
        <v>374303.40642999997</v>
      </c>
      <c r="K231">
        <v>423</v>
      </c>
    </row>
    <row r="232" spans="1:11" x14ac:dyDescent="0.2">
      <c r="A232" s="1">
        <v>46022</v>
      </c>
      <c r="B232" t="s">
        <v>12</v>
      </c>
      <c r="C232" s="2">
        <v>46022.125</v>
      </c>
      <c r="D232">
        <v>125.05</v>
      </c>
      <c r="E232">
        <v>128.33000000000001</v>
      </c>
      <c r="F232">
        <v>123.82</v>
      </c>
      <c r="G232">
        <v>124.8</v>
      </c>
      <c r="H232">
        <v>38873.410000000003</v>
      </c>
      <c r="I232" s="2">
        <v>46023.124999988424</v>
      </c>
      <c r="J232">
        <v>4886458.2928400002</v>
      </c>
      <c r="K232">
        <v>4150</v>
      </c>
    </row>
    <row r="233" spans="1:11" x14ac:dyDescent="0.2">
      <c r="A233" s="1">
        <v>46023</v>
      </c>
      <c r="B233" t="s">
        <v>12</v>
      </c>
      <c r="C233" s="2">
        <v>46023.125</v>
      </c>
      <c r="D233">
        <v>124.96</v>
      </c>
      <c r="E233">
        <v>128.25</v>
      </c>
      <c r="F233">
        <v>124.57</v>
      </c>
      <c r="G233">
        <v>127.25</v>
      </c>
      <c r="H233">
        <v>18807.343000000001</v>
      </c>
      <c r="I233" s="2">
        <v>46024.124999988424</v>
      </c>
      <c r="J233">
        <v>2362593.86106</v>
      </c>
      <c r="K233">
        <v>2434</v>
      </c>
    </row>
    <row r="234" spans="1:11" x14ac:dyDescent="0.2">
      <c r="A234" s="1">
        <v>46024</v>
      </c>
      <c r="B234" t="s">
        <v>12</v>
      </c>
      <c r="C234" s="2">
        <v>46024.125</v>
      </c>
      <c r="D234">
        <v>127.47</v>
      </c>
      <c r="E234">
        <v>133.15</v>
      </c>
      <c r="F234">
        <v>126.32</v>
      </c>
      <c r="G234">
        <v>132.25</v>
      </c>
      <c r="H234">
        <v>21529.126</v>
      </c>
      <c r="I234" s="2">
        <v>46025.124999988424</v>
      </c>
      <c r="J234">
        <v>2798603.3283799998</v>
      </c>
      <c r="K234">
        <v>2499</v>
      </c>
    </row>
    <row r="235" spans="1:11" x14ac:dyDescent="0.2">
      <c r="A235" s="1">
        <v>46025</v>
      </c>
      <c r="B235" t="s">
        <v>12</v>
      </c>
      <c r="C235" s="2">
        <v>46025.125</v>
      </c>
      <c r="D235">
        <v>132.26</v>
      </c>
      <c r="E235">
        <v>133.93</v>
      </c>
      <c r="F235">
        <v>129.69</v>
      </c>
      <c r="G235">
        <v>133.41</v>
      </c>
      <c r="H235">
        <v>4429.7610000000004</v>
      </c>
      <c r="I235" s="2">
        <v>46026.124999988424</v>
      </c>
      <c r="J235">
        <v>589685.55533</v>
      </c>
      <c r="K235">
        <v>693</v>
      </c>
    </row>
    <row r="236" spans="1:11" x14ac:dyDescent="0.2">
      <c r="A236" s="1">
        <v>46026</v>
      </c>
      <c r="B236" t="s">
        <v>12</v>
      </c>
      <c r="C236" s="2">
        <v>46026.125</v>
      </c>
      <c r="D236">
        <v>133.46</v>
      </c>
      <c r="E236">
        <v>135.38999999999999</v>
      </c>
      <c r="F236">
        <v>133.16999999999999</v>
      </c>
      <c r="G236">
        <v>134.01</v>
      </c>
      <c r="H236">
        <v>4400.0200000000004</v>
      </c>
      <c r="I236" s="2">
        <v>46027.124999988424</v>
      </c>
      <c r="J236">
        <v>593355.36982999998</v>
      </c>
      <c r="K236">
        <v>506</v>
      </c>
    </row>
    <row r="237" spans="1:11" x14ac:dyDescent="0.2">
      <c r="A237" s="1">
        <v>46027</v>
      </c>
      <c r="B237" t="s">
        <v>12</v>
      </c>
      <c r="C237" s="2">
        <v>46027.125</v>
      </c>
      <c r="D237">
        <v>134.16999999999999</v>
      </c>
      <c r="E237">
        <v>139.71</v>
      </c>
      <c r="F237">
        <v>133.35</v>
      </c>
      <c r="G237">
        <v>138.06</v>
      </c>
      <c r="H237">
        <v>1803.09</v>
      </c>
      <c r="I237" s="2">
        <v>46028.124999988424</v>
      </c>
      <c r="J237">
        <v>246411.22644</v>
      </c>
      <c r="K237">
        <v>1126</v>
      </c>
    </row>
    <row r="238" spans="1:11" x14ac:dyDescent="0.2">
      <c r="A238" s="1">
        <v>46028</v>
      </c>
      <c r="B238" t="s">
        <v>12</v>
      </c>
      <c r="C238" s="2">
        <v>46028.125</v>
      </c>
      <c r="D238">
        <v>137.94999999999999</v>
      </c>
      <c r="E238">
        <v>143.36000000000001</v>
      </c>
      <c r="F238">
        <v>136.24</v>
      </c>
      <c r="G238">
        <v>141.13</v>
      </c>
      <c r="H238">
        <v>2581.3519999999999</v>
      </c>
      <c r="I238" s="2">
        <v>46029.124999988424</v>
      </c>
      <c r="J238">
        <v>361585.59669999999</v>
      </c>
      <c r="K238">
        <v>1218</v>
      </c>
    </row>
    <row r="239" spans="1:11" x14ac:dyDescent="0.2">
      <c r="A239" s="1">
        <v>46029</v>
      </c>
      <c r="B239" t="s">
        <v>12</v>
      </c>
      <c r="C239" s="2">
        <v>46029.125</v>
      </c>
      <c r="D239">
        <v>140.97</v>
      </c>
      <c r="E239">
        <v>141.41</v>
      </c>
      <c r="F239">
        <v>134.53</v>
      </c>
      <c r="G239">
        <v>136.68</v>
      </c>
      <c r="H239">
        <v>41509.212</v>
      </c>
      <c r="I239" s="2">
        <v>46030.124999988424</v>
      </c>
      <c r="J239">
        <v>5707119.2154099997</v>
      </c>
      <c r="K239">
        <v>2245</v>
      </c>
    </row>
    <row r="240" spans="1:11" x14ac:dyDescent="0.2">
      <c r="A240" s="1">
        <v>46030</v>
      </c>
      <c r="B240" t="s">
        <v>12</v>
      </c>
      <c r="C240" s="2">
        <v>46030.125</v>
      </c>
      <c r="D240">
        <v>136.6</v>
      </c>
      <c r="E240">
        <v>140.01</v>
      </c>
      <c r="F240">
        <v>132.97</v>
      </c>
      <c r="G240">
        <v>138.49</v>
      </c>
      <c r="H240">
        <v>19493.916000000001</v>
      </c>
      <c r="I240" s="2">
        <v>46031.124999988424</v>
      </c>
      <c r="J240">
        <v>2672965.2735299999</v>
      </c>
      <c r="K240">
        <v>1710</v>
      </c>
    </row>
    <row r="241" spans="1:11" x14ac:dyDescent="0.2">
      <c r="A241" s="1">
        <v>46031</v>
      </c>
      <c r="B241" t="s">
        <v>12</v>
      </c>
      <c r="C241" s="2">
        <v>46031.125</v>
      </c>
      <c r="D241">
        <v>138.59</v>
      </c>
      <c r="E241">
        <v>141.08000000000001</v>
      </c>
      <c r="F241">
        <v>135.1</v>
      </c>
      <c r="G241">
        <v>136.04</v>
      </c>
      <c r="H241">
        <v>1533</v>
      </c>
      <c r="I241" s="2">
        <v>46032.124999988424</v>
      </c>
      <c r="J241">
        <v>212761.83962000001</v>
      </c>
      <c r="K241">
        <v>956</v>
      </c>
    </row>
    <row r="242" spans="1:11" x14ac:dyDescent="0.2">
      <c r="A242" s="1">
        <v>46032</v>
      </c>
      <c r="B242" t="s">
        <v>12</v>
      </c>
      <c r="C242" s="2">
        <v>46032.125</v>
      </c>
      <c r="D242">
        <v>136</v>
      </c>
      <c r="E242">
        <v>136.99</v>
      </c>
      <c r="F242">
        <v>135.5</v>
      </c>
      <c r="G242">
        <v>136.13999999999999</v>
      </c>
      <c r="H242">
        <v>736.19799999999998</v>
      </c>
      <c r="I242" s="2">
        <v>46033.124999988424</v>
      </c>
      <c r="J242">
        <v>100231.17157999999</v>
      </c>
      <c r="K242">
        <v>477</v>
      </c>
    </row>
    <row r="243" spans="1:11" x14ac:dyDescent="0.2">
      <c r="A243" s="1">
        <v>46033</v>
      </c>
      <c r="B243" t="s">
        <v>12</v>
      </c>
      <c r="C243" s="2">
        <v>46033.125</v>
      </c>
      <c r="D243">
        <v>135.82</v>
      </c>
      <c r="E243">
        <v>141.47999999999999</v>
      </c>
      <c r="F243">
        <v>135.82</v>
      </c>
      <c r="G243">
        <v>139.57</v>
      </c>
      <c r="H243">
        <v>1739.9190000000001</v>
      </c>
      <c r="I243" s="2">
        <v>46034.124999988424</v>
      </c>
      <c r="J243">
        <v>240931.63920999999</v>
      </c>
      <c r="K243">
        <v>734</v>
      </c>
    </row>
    <row r="244" spans="1:11" x14ac:dyDescent="0.2">
      <c r="A244" s="1">
        <v>46034</v>
      </c>
      <c r="B244" t="s">
        <v>12</v>
      </c>
      <c r="C244" s="2">
        <v>46034.125</v>
      </c>
      <c r="D244">
        <v>139.61000000000001</v>
      </c>
      <c r="E244">
        <v>144.35</v>
      </c>
      <c r="F244">
        <v>138.4</v>
      </c>
      <c r="G244">
        <v>139.37</v>
      </c>
      <c r="H244">
        <v>2943.4520000000002</v>
      </c>
      <c r="I244" s="2">
        <v>46035.124999988424</v>
      </c>
      <c r="J244">
        <v>416977.31027000002</v>
      </c>
      <c r="K244">
        <v>1247</v>
      </c>
    </row>
    <row r="245" spans="1:11" x14ac:dyDescent="0.2">
      <c r="A245" s="1">
        <v>46035</v>
      </c>
      <c r="B245" t="s">
        <v>12</v>
      </c>
      <c r="C245" s="2">
        <v>46035.125</v>
      </c>
      <c r="D245">
        <v>139.29</v>
      </c>
      <c r="E245">
        <v>148.01</v>
      </c>
      <c r="F245">
        <v>137.9</v>
      </c>
      <c r="G245">
        <v>145.38</v>
      </c>
      <c r="H245">
        <v>2239.0889999999999</v>
      </c>
      <c r="I245" s="2">
        <v>46036.124999988424</v>
      </c>
      <c r="J245">
        <v>322502.74984</v>
      </c>
      <c r="K245">
        <v>1192</v>
      </c>
    </row>
    <row r="246" spans="1:11" x14ac:dyDescent="0.2">
      <c r="A246" s="1">
        <v>46036</v>
      </c>
      <c r="B246" t="s">
        <v>12</v>
      </c>
      <c r="C246" s="2">
        <v>46036.125</v>
      </c>
      <c r="D246">
        <v>145.62</v>
      </c>
      <c r="E246">
        <v>148.29</v>
      </c>
      <c r="F246">
        <v>143.41999999999999</v>
      </c>
      <c r="G246">
        <v>146.88999999999999</v>
      </c>
      <c r="H246">
        <v>1728.7940000000001</v>
      </c>
      <c r="I246" s="2">
        <v>46037.124999988424</v>
      </c>
      <c r="J246">
        <v>252488.49337000001</v>
      </c>
      <c r="K246">
        <v>862</v>
      </c>
    </row>
    <row r="247" spans="1:11" x14ac:dyDescent="0.2">
      <c r="A247" s="1">
        <v>46037</v>
      </c>
      <c r="B247" t="s">
        <v>12</v>
      </c>
      <c r="C247" s="2">
        <v>46037.125</v>
      </c>
      <c r="D247">
        <v>146.78</v>
      </c>
      <c r="E247">
        <v>146.78</v>
      </c>
      <c r="F247">
        <v>141.05000000000001</v>
      </c>
      <c r="G247">
        <v>142.35</v>
      </c>
      <c r="H247">
        <v>2073.6089999999999</v>
      </c>
      <c r="I247" s="2">
        <v>46038.124999988424</v>
      </c>
      <c r="J247">
        <v>297961.86647000001</v>
      </c>
      <c r="K247">
        <v>772</v>
      </c>
    </row>
    <row r="248" spans="1:11" x14ac:dyDescent="0.2">
      <c r="A248" s="1">
        <v>46038</v>
      </c>
      <c r="B248" t="s">
        <v>12</v>
      </c>
      <c r="C248" s="2">
        <v>46038.125</v>
      </c>
      <c r="D248">
        <v>142.52000000000001</v>
      </c>
      <c r="E248">
        <v>145.5</v>
      </c>
      <c r="F248">
        <v>140.35</v>
      </c>
      <c r="G248">
        <v>144.9</v>
      </c>
      <c r="H248">
        <v>1387.001</v>
      </c>
      <c r="I248" s="2">
        <v>46039.124999988424</v>
      </c>
      <c r="J248">
        <v>199282.87693999999</v>
      </c>
      <c r="K248">
        <v>728</v>
      </c>
    </row>
    <row r="249" spans="1:11" x14ac:dyDescent="0.2">
      <c r="A249" s="1">
        <v>46039</v>
      </c>
      <c r="B249" t="s">
        <v>12</v>
      </c>
      <c r="C249" s="2">
        <v>46039.125</v>
      </c>
      <c r="D249">
        <v>144.94999999999999</v>
      </c>
      <c r="E249">
        <v>144.94999999999999</v>
      </c>
      <c r="F249">
        <v>143.44</v>
      </c>
      <c r="G249">
        <v>143.75</v>
      </c>
      <c r="H249">
        <v>1459.5509999999999</v>
      </c>
      <c r="I249" s="2">
        <v>46040.124999988424</v>
      </c>
      <c r="J249">
        <v>210536.91561</v>
      </c>
      <c r="K249">
        <v>669</v>
      </c>
    </row>
    <row r="250" spans="1:11" x14ac:dyDescent="0.2">
      <c r="A250" s="1">
        <v>46040</v>
      </c>
      <c r="B250" t="s">
        <v>12</v>
      </c>
      <c r="C250" s="2">
        <v>46040.125</v>
      </c>
      <c r="D250">
        <v>143.79</v>
      </c>
      <c r="E250">
        <v>143.86000000000001</v>
      </c>
      <c r="F250">
        <v>137.81</v>
      </c>
      <c r="G250">
        <v>137.81</v>
      </c>
      <c r="H250">
        <v>3873.5369999999998</v>
      </c>
      <c r="I250" s="2">
        <v>46041.124999988424</v>
      </c>
      <c r="J250">
        <v>547001.11335</v>
      </c>
      <c r="K250">
        <v>814</v>
      </c>
    </row>
    <row r="251" spans="1:11" x14ac:dyDescent="0.2">
      <c r="A251" s="1">
        <v>46041</v>
      </c>
      <c r="B251" t="s">
        <v>12</v>
      </c>
      <c r="C251" s="2">
        <v>46041.125</v>
      </c>
      <c r="D251">
        <v>137.82</v>
      </c>
      <c r="E251">
        <v>138</v>
      </c>
      <c r="F251">
        <v>130.12</v>
      </c>
      <c r="G251">
        <v>133.41</v>
      </c>
      <c r="H251">
        <v>6794.5370000000003</v>
      </c>
      <c r="I251" s="2">
        <v>46042.124999988424</v>
      </c>
      <c r="J251">
        <v>909474.70302999998</v>
      </c>
      <c r="K251">
        <v>1233</v>
      </c>
    </row>
    <row r="252" spans="1:11" x14ac:dyDescent="0.2">
      <c r="A252" s="1">
        <v>46042</v>
      </c>
      <c r="B252" t="s">
        <v>12</v>
      </c>
      <c r="C252" s="2">
        <v>46042.125</v>
      </c>
      <c r="D252">
        <v>133.66</v>
      </c>
      <c r="E252">
        <v>134.56</v>
      </c>
      <c r="F252">
        <v>124.79</v>
      </c>
      <c r="G252">
        <v>125.81</v>
      </c>
      <c r="H252">
        <v>14759.594999999999</v>
      </c>
      <c r="I252" s="2">
        <v>46043.124999988424</v>
      </c>
      <c r="J252">
        <v>1906311.7630799999</v>
      </c>
      <c r="K252">
        <v>1378</v>
      </c>
    </row>
    <row r="253" spans="1:11" x14ac:dyDescent="0.2">
      <c r="A253" s="1">
        <v>46043</v>
      </c>
      <c r="B253" t="s">
        <v>12</v>
      </c>
      <c r="C253" s="2">
        <v>46043.125</v>
      </c>
      <c r="D253">
        <v>125.82</v>
      </c>
      <c r="E253">
        <v>132.09</v>
      </c>
      <c r="F253">
        <v>125.47</v>
      </c>
      <c r="G253">
        <v>129.38999999999999</v>
      </c>
      <c r="H253">
        <v>7576.223</v>
      </c>
      <c r="I253" s="2">
        <v>46044.124999988424</v>
      </c>
      <c r="J253">
        <v>973693.64113999996</v>
      </c>
      <c r="K253">
        <v>1035</v>
      </c>
    </row>
    <row r="254" spans="1:11" x14ac:dyDescent="0.2">
      <c r="A254" s="1">
        <v>46044</v>
      </c>
      <c r="B254" t="s">
        <v>12</v>
      </c>
      <c r="C254" s="2">
        <v>46044.125</v>
      </c>
      <c r="D254">
        <v>129.83000000000001</v>
      </c>
      <c r="E254">
        <v>130.88999999999999</v>
      </c>
      <c r="F254">
        <v>126.83</v>
      </c>
      <c r="G254">
        <v>128.38999999999999</v>
      </c>
      <c r="H254">
        <v>1744.7539999999999</v>
      </c>
      <c r="I254" s="2">
        <v>46045.124999988424</v>
      </c>
      <c r="J254">
        <v>225008.79381</v>
      </c>
      <c r="K254">
        <v>446</v>
      </c>
    </row>
    <row r="255" spans="1:11" x14ac:dyDescent="0.2">
      <c r="A255" s="1">
        <v>46045</v>
      </c>
      <c r="B255" t="s">
        <v>12</v>
      </c>
      <c r="C255" s="2">
        <v>46045.125</v>
      </c>
      <c r="D255">
        <v>128.49</v>
      </c>
      <c r="E255">
        <v>130.13</v>
      </c>
      <c r="F255">
        <v>125.47</v>
      </c>
      <c r="G255">
        <v>127.41</v>
      </c>
      <c r="H255">
        <v>1828.576</v>
      </c>
      <c r="I255" s="2">
        <v>46046.124999988424</v>
      </c>
      <c r="J255">
        <v>233589.45874</v>
      </c>
      <c r="K255">
        <v>597</v>
      </c>
    </row>
    <row r="256" spans="1:11" x14ac:dyDescent="0.2">
      <c r="A256" s="1">
        <v>46046</v>
      </c>
      <c r="B256" t="s">
        <v>12</v>
      </c>
      <c r="C256" s="2">
        <v>46046.125</v>
      </c>
      <c r="D256">
        <v>127.43</v>
      </c>
      <c r="E256">
        <v>128.08000000000001</v>
      </c>
      <c r="F256">
        <v>126.72</v>
      </c>
      <c r="G256">
        <v>127.21</v>
      </c>
      <c r="H256">
        <v>671.21500000000003</v>
      </c>
      <c r="I256" s="2">
        <v>46047.124999988424</v>
      </c>
      <c r="J256">
        <v>85464.993350000004</v>
      </c>
      <c r="K256">
        <v>318</v>
      </c>
    </row>
    <row r="257" spans="1:11" x14ac:dyDescent="0.2">
      <c r="A257" s="1">
        <v>46047</v>
      </c>
      <c r="B257" t="s">
        <v>12</v>
      </c>
      <c r="C257" s="2">
        <v>46047.125</v>
      </c>
      <c r="D257">
        <v>127.43</v>
      </c>
      <c r="E257">
        <v>127.49</v>
      </c>
      <c r="F257">
        <v>117.25</v>
      </c>
      <c r="G257">
        <v>118.92</v>
      </c>
      <c r="H257">
        <v>6527.4260000000004</v>
      </c>
      <c r="I257" s="2">
        <v>46048.124999988424</v>
      </c>
      <c r="J257">
        <v>787789.75407999998</v>
      </c>
      <c r="K257">
        <v>997</v>
      </c>
    </row>
    <row r="258" spans="1:11" x14ac:dyDescent="0.2">
      <c r="A258" s="1">
        <v>46048</v>
      </c>
      <c r="B258" t="s">
        <v>12</v>
      </c>
      <c r="C258" s="2">
        <v>46048.125</v>
      </c>
      <c r="D258">
        <v>118.83</v>
      </c>
      <c r="E258">
        <v>125.53</v>
      </c>
      <c r="F258">
        <v>118.71</v>
      </c>
      <c r="G258">
        <v>124.2</v>
      </c>
      <c r="H258">
        <v>2765.5189999999998</v>
      </c>
      <c r="I258" s="2">
        <v>46049.124999988424</v>
      </c>
      <c r="J258">
        <v>339054.54598</v>
      </c>
      <c r="K258">
        <v>745</v>
      </c>
    </row>
    <row r="259" spans="1:11" x14ac:dyDescent="0.2">
      <c r="A259" s="1">
        <v>46049</v>
      </c>
      <c r="B259" t="s">
        <v>12</v>
      </c>
      <c r="C259" s="2">
        <v>46049.125</v>
      </c>
      <c r="D259">
        <v>124.14</v>
      </c>
      <c r="E259">
        <v>127.77</v>
      </c>
      <c r="F259">
        <v>123.18</v>
      </c>
      <c r="G259">
        <v>127.44</v>
      </c>
      <c r="H259">
        <v>2421.913</v>
      </c>
      <c r="I259" s="2">
        <v>46050.124999988424</v>
      </c>
      <c r="J259">
        <v>302518.51812999998</v>
      </c>
      <c r="K259">
        <v>598</v>
      </c>
    </row>
    <row r="260" spans="1:11" x14ac:dyDescent="0.2">
      <c r="A260" s="1">
        <v>46050</v>
      </c>
      <c r="B260" t="s">
        <v>12</v>
      </c>
      <c r="C260" s="2">
        <v>46050.125</v>
      </c>
      <c r="D260">
        <v>127.11</v>
      </c>
      <c r="E260">
        <v>128.30000000000001</v>
      </c>
      <c r="F260">
        <v>124.84</v>
      </c>
      <c r="G260">
        <v>125.21</v>
      </c>
      <c r="H260">
        <v>64652.714</v>
      </c>
      <c r="I260" s="2">
        <v>46051.124999988424</v>
      </c>
      <c r="J260">
        <v>8190548.8037599996</v>
      </c>
      <c r="K260">
        <v>1409</v>
      </c>
    </row>
    <row r="261" spans="1:11" x14ac:dyDescent="0.2">
      <c r="A261" s="1">
        <v>46051</v>
      </c>
      <c r="B261" t="s">
        <v>12</v>
      </c>
      <c r="C261" s="2">
        <v>46051.125</v>
      </c>
      <c r="D261">
        <v>125.38</v>
      </c>
      <c r="E261">
        <v>125.5</v>
      </c>
      <c r="F261">
        <v>115.43</v>
      </c>
      <c r="G261">
        <v>117.78</v>
      </c>
      <c r="H261">
        <v>53188.909</v>
      </c>
      <c r="I261" s="2">
        <v>46052.124999988424</v>
      </c>
      <c r="J261">
        <v>6543776.7917600004</v>
      </c>
      <c r="K261">
        <v>1568</v>
      </c>
    </row>
    <row r="262" spans="1:11" x14ac:dyDescent="0.2">
      <c r="A262" s="1">
        <v>46052</v>
      </c>
      <c r="B262" t="s">
        <v>12</v>
      </c>
      <c r="C262" s="2">
        <v>46052.125</v>
      </c>
      <c r="D262">
        <v>117.93</v>
      </c>
      <c r="E262">
        <v>119.04</v>
      </c>
      <c r="F262">
        <v>112.19</v>
      </c>
      <c r="G262">
        <v>117.55</v>
      </c>
      <c r="H262">
        <v>3231.2240000000002</v>
      </c>
      <c r="I262" s="2">
        <v>46053.124999988424</v>
      </c>
      <c r="J262">
        <v>374363.97725</v>
      </c>
      <c r="K262">
        <v>872</v>
      </c>
    </row>
    <row r="263" spans="1:11" x14ac:dyDescent="0.2">
      <c r="A263" s="1">
        <v>46053</v>
      </c>
      <c r="B263" t="s">
        <v>12</v>
      </c>
      <c r="C263" s="2">
        <v>46053.125</v>
      </c>
      <c r="D263">
        <v>117.55</v>
      </c>
      <c r="E263">
        <v>118.8</v>
      </c>
      <c r="F263">
        <v>96.52</v>
      </c>
      <c r="G263">
        <v>105.27</v>
      </c>
      <c r="H263">
        <v>8386.6569999999992</v>
      </c>
      <c r="I263" s="2">
        <v>46054.124999988424</v>
      </c>
      <c r="J263">
        <v>879561.63999000005</v>
      </c>
      <c r="K263">
        <v>1671</v>
      </c>
    </row>
    <row r="264" spans="1:11" x14ac:dyDescent="0.2">
      <c r="A264" s="1">
        <v>46054</v>
      </c>
      <c r="B264" t="s">
        <v>12</v>
      </c>
      <c r="C264" s="2">
        <v>46054.125</v>
      </c>
      <c r="D264">
        <v>105.49</v>
      </c>
      <c r="E264">
        <v>106.66</v>
      </c>
      <c r="F264">
        <v>98.32</v>
      </c>
      <c r="G264">
        <v>100.7</v>
      </c>
      <c r="H264">
        <v>3199.1419999999998</v>
      </c>
      <c r="I264" s="2">
        <v>46055.124999988424</v>
      </c>
      <c r="J264">
        <v>327184.36245000002</v>
      </c>
      <c r="K264">
        <v>867</v>
      </c>
    </row>
    <row r="265" spans="1:11" x14ac:dyDescent="0.2">
      <c r="A265" s="1">
        <v>46055</v>
      </c>
      <c r="B265" t="s">
        <v>12</v>
      </c>
      <c r="C265" s="2">
        <v>46055.125</v>
      </c>
      <c r="D265">
        <v>101.14</v>
      </c>
      <c r="E265">
        <v>106.08</v>
      </c>
      <c r="F265">
        <v>96</v>
      </c>
      <c r="G265">
        <v>104.55</v>
      </c>
      <c r="H265">
        <v>5002.9970000000003</v>
      </c>
      <c r="I265" s="2">
        <v>46056.124999988424</v>
      </c>
      <c r="J265">
        <v>506017.09788999998</v>
      </c>
      <c r="K265">
        <v>1080</v>
      </c>
    </row>
    <row r="266" spans="1:11" x14ac:dyDescent="0.2">
      <c r="A266" s="1">
        <v>46056</v>
      </c>
      <c r="B266" t="s">
        <v>12</v>
      </c>
      <c r="C266" s="2">
        <v>46056.125</v>
      </c>
      <c r="D266">
        <v>104.3</v>
      </c>
      <c r="E266">
        <v>105.08</v>
      </c>
      <c r="F266">
        <v>96.79</v>
      </c>
      <c r="G266">
        <v>97.73</v>
      </c>
      <c r="H266">
        <v>3083.5250000000001</v>
      </c>
      <c r="I266" s="2">
        <v>46057.124999988424</v>
      </c>
      <c r="J266">
        <v>311324.73411999998</v>
      </c>
      <c r="K266">
        <v>868</v>
      </c>
    </row>
    <row r="267" spans="1:11" x14ac:dyDescent="0.2">
      <c r="A267" s="1">
        <v>46057</v>
      </c>
      <c r="B267" t="s">
        <v>12</v>
      </c>
      <c r="C267" s="2">
        <v>46057.125</v>
      </c>
      <c r="D267">
        <v>97.87</v>
      </c>
      <c r="E267">
        <v>99.58</v>
      </c>
      <c r="F267">
        <v>89.4</v>
      </c>
      <c r="G267">
        <v>92.05</v>
      </c>
      <c r="H267">
        <v>4806.5110000000004</v>
      </c>
      <c r="I267" s="2">
        <v>46058.124999988424</v>
      </c>
      <c r="J267">
        <v>448646.90785000002</v>
      </c>
      <c r="K267">
        <v>2203</v>
      </c>
    </row>
    <row r="268" spans="1:11" x14ac:dyDescent="0.2">
      <c r="A268" s="1">
        <v>46058</v>
      </c>
      <c r="B268" t="s">
        <v>12</v>
      </c>
      <c r="C268" s="2">
        <v>46058.125</v>
      </c>
      <c r="D268">
        <v>92.12</v>
      </c>
      <c r="E268">
        <v>93.31</v>
      </c>
      <c r="F268">
        <v>77.709999999999994</v>
      </c>
      <c r="G268">
        <v>78.239999999999995</v>
      </c>
      <c r="H268">
        <v>10673.109</v>
      </c>
      <c r="I268" s="2">
        <v>46059.124999988424</v>
      </c>
      <c r="J268">
        <v>894059.20227999997</v>
      </c>
      <c r="K268">
        <v>2756</v>
      </c>
    </row>
    <row r="269" spans="1:11" x14ac:dyDescent="0.2">
      <c r="A269" s="1">
        <v>46059</v>
      </c>
      <c r="B269" t="s">
        <v>12</v>
      </c>
      <c r="C269" s="2">
        <v>46059.125</v>
      </c>
      <c r="D269">
        <v>78.58</v>
      </c>
      <c r="E269">
        <v>89.79</v>
      </c>
      <c r="F269">
        <v>67.52</v>
      </c>
      <c r="G269">
        <v>87.51</v>
      </c>
      <c r="H269">
        <v>13780.098</v>
      </c>
      <c r="I269" s="2">
        <v>46060.124999988424</v>
      </c>
      <c r="J269">
        <v>1108450.9853099999</v>
      </c>
      <c r="K269">
        <v>3955</v>
      </c>
    </row>
    <row r="270" spans="1:11" x14ac:dyDescent="0.2">
      <c r="A270" s="1">
        <v>46060</v>
      </c>
      <c r="B270" t="s">
        <v>12</v>
      </c>
      <c r="C270" s="2">
        <v>46060.125</v>
      </c>
      <c r="D270">
        <v>87.26</v>
      </c>
      <c r="E270">
        <v>89.13</v>
      </c>
      <c r="F270">
        <v>84.24</v>
      </c>
      <c r="G270">
        <v>87.79</v>
      </c>
      <c r="H270">
        <v>3664.538</v>
      </c>
      <c r="I270" s="2">
        <v>46061.124999988424</v>
      </c>
      <c r="J270">
        <v>319748.61690000002</v>
      </c>
      <c r="K270">
        <v>745</v>
      </c>
    </row>
    <row r="271" spans="1:11" x14ac:dyDescent="0.2">
      <c r="A271" s="1">
        <v>46061</v>
      </c>
      <c r="B271" t="s">
        <v>12</v>
      </c>
      <c r="C271" s="2">
        <v>46061.125</v>
      </c>
      <c r="D271">
        <v>87.65</v>
      </c>
      <c r="E271">
        <v>89.02</v>
      </c>
      <c r="F271">
        <v>85.9</v>
      </c>
      <c r="G271">
        <v>87</v>
      </c>
      <c r="H271">
        <v>1876.5429999999999</v>
      </c>
      <c r="I271" s="2">
        <v>46062.124999988424</v>
      </c>
      <c r="J271">
        <v>164158.74822000001</v>
      </c>
      <c r="K271">
        <v>628</v>
      </c>
    </row>
    <row r="272" spans="1:11" x14ac:dyDescent="0.2">
      <c r="A272" s="1">
        <v>46062</v>
      </c>
      <c r="B272" t="s">
        <v>12</v>
      </c>
      <c r="C272" s="2">
        <v>46062.125</v>
      </c>
      <c r="D272">
        <v>87.04</v>
      </c>
      <c r="E272">
        <v>88.53</v>
      </c>
      <c r="F272">
        <v>82.89</v>
      </c>
      <c r="G272">
        <v>86.73</v>
      </c>
      <c r="H272">
        <v>1560.2860000000001</v>
      </c>
      <c r="I272" s="2">
        <v>46063.124999988424</v>
      </c>
      <c r="J272">
        <v>134627.25886</v>
      </c>
      <c r="K272">
        <v>615</v>
      </c>
    </row>
    <row r="273" spans="1:11" x14ac:dyDescent="0.2">
      <c r="A273" s="1">
        <v>46063</v>
      </c>
      <c r="B273" t="s">
        <v>12</v>
      </c>
      <c r="C273" s="2">
        <v>46063.125</v>
      </c>
      <c r="D273">
        <v>86.84</v>
      </c>
      <c r="E273">
        <v>87.41</v>
      </c>
      <c r="F273">
        <v>81.97</v>
      </c>
      <c r="G273">
        <v>82.95</v>
      </c>
      <c r="H273">
        <v>1466.4949999999999</v>
      </c>
      <c r="I273" s="2">
        <v>46064.124999988424</v>
      </c>
      <c r="J273">
        <v>124015.61840000001</v>
      </c>
      <c r="K273">
        <v>502</v>
      </c>
    </row>
    <row r="274" spans="1:11" x14ac:dyDescent="0.2">
      <c r="A274" s="1">
        <v>46064</v>
      </c>
      <c r="B274" t="s">
        <v>12</v>
      </c>
      <c r="C274" s="2">
        <v>46064.125</v>
      </c>
      <c r="D274">
        <v>83.04</v>
      </c>
      <c r="E274">
        <v>84.34</v>
      </c>
      <c r="F274">
        <v>78.02</v>
      </c>
      <c r="G274">
        <v>79.349999999999994</v>
      </c>
      <c r="H274">
        <v>3254.297</v>
      </c>
      <c r="I274" s="2">
        <v>46065.124999988424</v>
      </c>
      <c r="J274">
        <v>263192.90123999998</v>
      </c>
      <c r="K274">
        <v>971</v>
      </c>
    </row>
    <row r="275" spans="1:11" x14ac:dyDescent="0.2">
      <c r="A275" s="1">
        <v>46065</v>
      </c>
      <c r="B275" t="s">
        <v>12</v>
      </c>
      <c r="C275" s="2">
        <v>46065.125</v>
      </c>
      <c r="D275">
        <v>79.33</v>
      </c>
      <c r="E275">
        <v>82.12</v>
      </c>
      <c r="F275">
        <v>76.66</v>
      </c>
      <c r="G275">
        <v>78.38</v>
      </c>
      <c r="H275">
        <v>1235.9349999999999</v>
      </c>
      <c r="I275" s="2">
        <v>46066.124999988424</v>
      </c>
      <c r="J275">
        <v>97694.384040000004</v>
      </c>
      <c r="K275">
        <v>651</v>
      </c>
    </row>
    <row r="276" spans="1:11" x14ac:dyDescent="0.2">
      <c r="A276" s="1">
        <v>46066</v>
      </c>
      <c r="B276" t="s">
        <v>12</v>
      </c>
      <c r="C276" s="2">
        <v>46066.125</v>
      </c>
      <c r="D276">
        <v>78.42</v>
      </c>
      <c r="E276">
        <v>85.57</v>
      </c>
      <c r="F276">
        <v>77.599999999999994</v>
      </c>
      <c r="G276">
        <v>84.37</v>
      </c>
      <c r="H276">
        <v>1953.423</v>
      </c>
      <c r="I276" s="2">
        <v>46067.124999988424</v>
      </c>
      <c r="J276">
        <v>162247.89274000001</v>
      </c>
      <c r="K276">
        <v>915</v>
      </c>
    </row>
    <row r="277" spans="1:11" x14ac:dyDescent="0.2">
      <c r="A277" s="1">
        <v>46067</v>
      </c>
      <c r="B277" t="s">
        <v>12</v>
      </c>
      <c r="C277" s="2">
        <v>46067.125</v>
      </c>
      <c r="D277">
        <v>84.32</v>
      </c>
      <c r="E277">
        <v>88.84</v>
      </c>
      <c r="F277">
        <v>84.25</v>
      </c>
      <c r="G277">
        <v>88.09</v>
      </c>
      <c r="H277">
        <v>1893.377</v>
      </c>
      <c r="I277" s="2">
        <v>46068.124999988424</v>
      </c>
      <c r="J277">
        <v>164046.79749999999</v>
      </c>
      <c r="K277">
        <v>1181</v>
      </c>
    </row>
    <row r="278" spans="1:11" x14ac:dyDescent="0.2">
      <c r="A278" s="1">
        <v>46068</v>
      </c>
      <c r="B278" t="s">
        <v>12</v>
      </c>
      <c r="C278" s="2">
        <v>46068.125</v>
      </c>
      <c r="D278">
        <v>88.07</v>
      </c>
      <c r="E278">
        <v>91.2</v>
      </c>
      <c r="F278">
        <v>84.96</v>
      </c>
      <c r="G278">
        <v>86.17</v>
      </c>
      <c r="H278">
        <v>2636.645</v>
      </c>
      <c r="I278" s="2">
        <v>46069.124999988424</v>
      </c>
      <c r="J278">
        <v>229863.31255999999</v>
      </c>
      <c r="K278">
        <v>1107</v>
      </c>
    </row>
    <row r="279" spans="1:11" x14ac:dyDescent="0.2">
      <c r="A279" s="1">
        <v>46069</v>
      </c>
      <c r="B279" t="s">
        <v>12</v>
      </c>
      <c r="C279" s="2">
        <v>46069.125</v>
      </c>
      <c r="D279">
        <v>86.06</v>
      </c>
      <c r="E279">
        <v>86.86</v>
      </c>
      <c r="F279">
        <v>82.67</v>
      </c>
      <c r="G279">
        <v>86.59</v>
      </c>
      <c r="H279">
        <v>1200.4639999999999</v>
      </c>
      <c r="I279" s="2">
        <v>46070.124999988424</v>
      </c>
      <c r="J279">
        <v>101677.2472</v>
      </c>
      <c r="K279">
        <v>664</v>
      </c>
    </row>
    <row r="280" spans="1:11" x14ac:dyDescent="0.2">
      <c r="A280" s="1">
        <v>46070</v>
      </c>
      <c r="B280" t="s">
        <v>12</v>
      </c>
      <c r="C280" s="2">
        <v>46070.125</v>
      </c>
      <c r="D280">
        <v>86.47</v>
      </c>
      <c r="E280">
        <v>87.62</v>
      </c>
      <c r="F280">
        <v>82.92</v>
      </c>
      <c r="G280">
        <v>85.21</v>
      </c>
      <c r="H280">
        <v>1059.4760000000001</v>
      </c>
      <c r="I280" s="2">
        <v>46071.124999988424</v>
      </c>
      <c r="J280">
        <v>90613.621329999994</v>
      </c>
      <c r="K280">
        <v>528</v>
      </c>
    </row>
    <row r="281" spans="1:11" x14ac:dyDescent="0.2">
      <c r="A281" s="1">
        <v>46071</v>
      </c>
      <c r="B281" t="s">
        <v>12</v>
      </c>
      <c r="C281" s="2">
        <v>46071.125</v>
      </c>
      <c r="D281">
        <v>85.1</v>
      </c>
      <c r="E281">
        <v>86.02</v>
      </c>
      <c r="F281">
        <v>80.510000000000005</v>
      </c>
      <c r="G281">
        <v>81.61</v>
      </c>
      <c r="H281">
        <v>2603.7600000000002</v>
      </c>
      <c r="I281" s="2">
        <v>46072.124999988424</v>
      </c>
      <c r="J281">
        <v>215982.63144</v>
      </c>
      <c r="K281">
        <v>721</v>
      </c>
    </row>
    <row r="282" spans="1:11" x14ac:dyDescent="0.2">
      <c r="A282" s="1">
        <v>46072</v>
      </c>
      <c r="B282" t="s">
        <v>12</v>
      </c>
      <c r="C282" s="2">
        <v>46072.125</v>
      </c>
      <c r="D282">
        <v>81.56</v>
      </c>
      <c r="E282">
        <v>82.62</v>
      </c>
      <c r="F282">
        <v>79.67</v>
      </c>
      <c r="G282">
        <v>82.5</v>
      </c>
      <c r="H282">
        <v>1955.3530000000001</v>
      </c>
      <c r="I282" s="2">
        <v>46073.124999988424</v>
      </c>
      <c r="J282">
        <v>159099.71304</v>
      </c>
      <c r="K282">
        <v>743</v>
      </c>
    </row>
    <row r="283" spans="1:11" x14ac:dyDescent="0.2">
      <c r="A283" s="1">
        <v>46073</v>
      </c>
      <c r="B283" t="s">
        <v>12</v>
      </c>
      <c r="C283" s="2">
        <v>46073.125</v>
      </c>
      <c r="D283">
        <v>82.42</v>
      </c>
      <c r="E283">
        <v>85.41</v>
      </c>
      <c r="F283">
        <v>81.89</v>
      </c>
      <c r="G283">
        <v>84.45</v>
      </c>
      <c r="H283">
        <v>2964.5</v>
      </c>
      <c r="I283" s="2">
        <v>46074.124999988424</v>
      </c>
      <c r="J283">
        <v>248733.15306000001</v>
      </c>
      <c r="K283">
        <v>892</v>
      </c>
    </row>
    <row r="284" spans="1:11" x14ac:dyDescent="0.2">
      <c r="A284" s="1">
        <v>46074</v>
      </c>
      <c r="B284" t="s">
        <v>12</v>
      </c>
      <c r="C284" s="2">
        <v>46074.125</v>
      </c>
      <c r="D284">
        <v>84.7</v>
      </c>
      <c r="E284">
        <v>86.71</v>
      </c>
      <c r="F284">
        <v>83.99</v>
      </c>
      <c r="G284">
        <v>85.23</v>
      </c>
      <c r="H284">
        <v>1546.5940000000001</v>
      </c>
      <c r="I284" s="2">
        <v>46075.124999988424</v>
      </c>
      <c r="J284">
        <v>132189.43283999999</v>
      </c>
      <c r="K284">
        <v>495</v>
      </c>
    </row>
    <row r="285" spans="1:11" x14ac:dyDescent="0.2">
      <c r="A285" s="1">
        <v>46075</v>
      </c>
      <c r="B285" t="s">
        <v>12</v>
      </c>
      <c r="C285" s="2">
        <v>46075.125</v>
      </c>
      <c r="D285">
        <v>85.1</v>
      </c>
      <c r="E285">
        <v>85.57</v>
      </c>
      <c r="F285">
        <v>82.48</v>
      </c>
      <c r="G285">
        <v>82.9</v>
      </c>
      <c r="H285">
        <v>1618.4839999999999</v>
      </c>
      <c r="I285" s="2">
        <v>46076.124999988424</v>
      </c>
      <c r="J285">
        <v>136476.25881999999</v>
      </c>
      <c r="K285">
        <v>420</v>
      </c>
    </row>
    <row r="286" spans="1:11" x14ac:dyDescent="0.2">
      <c r="A286" s="1">
        <v>46076</v>
      </c>
      <c r="B286" t="s">
        <v>12</v>
      </c>
      <c r="C286" s="2">
        <v>46076.125</v>
      </c>
      <c r="D286">
        <v>82.78</v>
      </c>
      <c r="E286">
        <v>82.82</v>
      </c>
      <c r="F286">
        <v>77.290000000000006</v>
      </c>
      <c r="G286">
        <v>77.7</v>
      </c>
      <c r="H286">
        <v>5603.9359999999997</v>
      </c>
      <c r="I286" s="2">
        <v>46077.124999988424</v>
      </c>
      <c r="J286">
        <v>442120.68965999997</v>
      </c>
      <c r="K286">
        <v>1064</v>
      </c>
    </row>
    <row r="287" spans="1:11" x14ac:dyDescent="0.2">
      <c r="A287" s="1">
        <v>46077</v>
      </c>
      <c r="B287" t="s">
        <v>12</v>
      </c>
      <c r="C287" s="2">
        <v>46077.125</v>
      </c>
      <c r="D287">
        <v>78.010000000000005</v>
      </c>
      <c r="E287">
        <v>79.59</v>
      </c>
      <c r="F287">
        <v>75.66</v>
      </c>
      <c r="G287">
        <v>79.22</v>
      </c>
      <c r="H287">
        <v>4000.335</v>
      </c>
      <c r="I287" s="2">
        <v>46078.124999988424</v>
      </c>
      <c r="J287">
        <v>308697.01217</v>
      </c>
      <c r="K287">
        <v>809</v>
      </c>
    </row>
    <row r="288" spans="1:11" x14ac:dyDescent="0.2">
      <c r="A288" s="1">
        <v>46078</v>
      </c>
      <c r="B288" t="s">
        <v>12</v>
      </c>
      <c r="C288" s="2">
        <v>46078.125</v>
      </c>
      <c r="D288">
        <v>79.040000000000006</v>
      </c>
      <c r="E288">
        <v>92</v>
      </c>
      <c r="F288">
        <v>78.760000000000005</v>
      </c>
      <c r="G288">
        <v>88.03</v>
      </c>
      <c r="H288">
        <v>7635.1480000000001</v>
      </c>
      <c r="I288" s="2">
        <v>46079.124999988424</v>
      </c>
      <c r="J288">
        <v>654542.82210999995</v>
      </c>
      <c r="K288">
        <v>2036</v>
      </c>
    </row>
    <row r="289" spans="1:11" x14ac:dyDescent="0.2">
      <c r="A289" s="1">
        <v>46079</v>
      </c>
      <c r="B289" t="s">
        <v>12</v>
      </c>
      <c r="C289" s="2">
        <v>46079.125</v>
      </c>
      <c r="D289">
        <v>87.99</v>
      </c>
      <c r="E289">
        <v>89.28</v>
      </c>
      <c r="F289">
        <v>84.41</v>
      </c>
      <c r="G289">
        <v>85.93</v>
      </c>
      <c r="H289">
        <v>4781.585</v>
      </c>
      <c r="I289" s="2">
        <v>46080.124999988424</v>
      </c>
      <c r="J289">
        <v>414930.60268000001</v>
      </c>
      <c r="K289">
        <v>1022</v>
      </c>
    </row>
    <row r="290" spans="1:11" x14ac:dyDescent="0.2">
      <c r="A290" s="1">
        <v>46080</v>
      </c>
      <c r="B290" t="s">
        <v>12</v>
      </c>
      <c r="C290" s="2">
        <v>46080.125</v>
      </c>
      <c r="D290">
        <v>86.02</v>
      </c>
      <c r="E290">
        <v>88.29</v>
      </c>
      <c r="F290">
        <v>80.33</v>
      </c>
      <c r="G290">
        <v>81.98</v>
      </c>
      <c r="H290">
        <v>3769.4090000000001</v>
      </c>
      <c r="I290" s="2">
        <v>46081.124999988424</v>
      </c>
      <c r="J290">
        <v>314162.53463000001</v>
      </c>
      <c r="K290">
        <v>1075</v>
      </c>
    </row>
    <row r="291" spans="1:11" x14ac:dyDescent="0.2">
      <c r="A291" s="1">
        <v>46081</v>
      </c>
      <c r="B291" t="s">
        <v>12</v>
      </c>
      <c r="C291" s="2">
        <v>46081.125</v>
      </c>
      <c r="D291">
        <v>81.91</v>
      </c>
      <c r="E291">
        <v>85.68</v>
      </c>
      <c r="F291">
        <v>77.19</v>
      </c>
      <c r="G291">
        <v>84.3</v>
      </c>
      <c r="H291">
        <v>5684.598</v>
      </c>
      <c r="I291" s="2">
        <v>46082.124999988424</v>
      </c>
      <c r="J291">
        <v>461746.63601999998</v>
      </c>
      <c r="K291">
        <v>1308</v>
      </c>
    </row>
    <row r="292" spans="1:11" x14ac:dyDescent="0.2">
      <c r="A292" s="1">
        <v>46082</v>
      </c>
      <c r="B292" t="s">
        <v>12</v>
      </c>
      <c r="C292" s="2">
        <v>46082.125</v>
      </c>
      <c r="D292">
        <v>84.59</v>
      </c>
      <c r="E292">
        <v>88.84</v>
      </c>
      <c r="F292">
        <v>81.67</v>
      </c>
      <c r="G292">
        <v>83.57</v>
      </c>
      <c r="H292">
        <v>3189.69</v>
      </c>
      <c r="I292" s="2">
        <v>46083.124999988424</v>
      </c>
      <c r="J292">
        <v>271699.95048</v>
      </c>
      <c r="K292">
        <v>1373</v>
      </c>
    </row>
    <row r="293" spans="1:11" x14ac:dyDescent="0.2">
      <c r="A293" s="1">
        <v>46083</v>
      </c>
      <c r="B293" t="s">
        <v>12</v>
      </c>
      <c r="C293" s="2">
        <v>46083.125</v>
      </c>
      <c r="D293">
        <v>83.62</v>
      </c>
      <c r="E293">
        <v>90.28</v>
      </c>
      <c r="F293">
        <v>82.41</v>
      </c>
      <c r="G293">
        <v>86.71</v>
      </c>
      <c r="H293">
        <v>2960.5120000000002</v>
      </c>
      <c r="I293" s="2">
        <v>46084.124999988424</v>
      </c>
      <c r="J293">
        <v>255653.75949999999</v>
      </c>
      <c r="K293">
        <v>1160</v>
      </c>
    </row>
    <row r="294" spans="1:11" x14ac:dyDescent="0.2">
      <c r="A294" s="1">
        <v>46084</v>
      </c>
      <c r="B294" t="s">
        <v>12</v>
      </c>
      <c r="C294" s="2">
        <v>46084.125</v>
      </c>
      <c r="D294">
        <v>86.63</v>
      </c>
      <c r="E294">
        <v>87.42</v>
      </c>
      <c r="F294">
        <v>82.53</v>
      </c>
      <c r="G294">
        <v>86.96</v>
      </c>
      <c r="H294">
        <v>3474.924</v>
      </c>
      <c r="I294" s="2">
        <v>46085.124999988424</v>
      </c>
      <c r="J294">
        <v>295800.62899</v>
      </c>
      <c r="K294">
        <v>1107</v>
      </c>
    </row>
    <row r="295" spans="1:11" x14ac:dyDescent="0.2">
      <c r="A295" s="1">
        <v>46085</v>
      </c>
      <c r="B295" t="s">
        <v>12</v>
      </c>
      <c r="C295" s="2">
        <v>46085.125</v>
      </c>
      <c r="D295">
        <v>86.96</v>
      </c>
      <c r="E295">
        <v>94.02</v>
      </c>
      <c r="F295">
        <v>84.82</v>
      </c>
      <c r="G295">
        <v>90.74</v>
      </c>
      <c r="H295">
        <v>4813.1030000000001</v>
      </c>
      <c r="I295" s="2">
        <v>46086.124999988424</v>
      </c>
      <c r="J295">
        <v>434604.18852000003</v>
      </c>
      <c r="K295">
        <v>1699</v>
      </c>
    </row>
    <row r="296" spans="1:11" x14ac:dyDescent="0.2">
      <c r="A296" s="1">
        <v>46086</v>
      </c>
      <c r="B296" t="s">
        <v>12</v>
      </c>
      <c r="C296" s="2">
        <v>46086.125</v>
      </c>
      <c r="D296">
        <v>91.01</v>
      </c>
      <c r="E296">
        <v>92.88</v>
      </c>
      <c r="F296">
        <v>87.98</v>
      </c>
      <c r="G296">
        <v>88.74</v>
      </c>
      <c r="H296">
        <v>2302.8530000000001</v>
      </c>
      <c r="I296" s="2">
        <v>46087.124999988424</v>
      </c>
      <c r="J296">
        <v>207563.07714000001</v>
      </c>
      <c r="K296">
        <v>828</v>
      </c>
    </row>
    <row r="297" spans="1:11" x14ac:dyDescent="0.2">
      <c r="A297" s="1">
        <v>46087</v>
      </c>
      <c r="B297" t="s">
        <v>12</v>
      </c>
      <c r="C297" s="2">
        <v>46087.125</v>
      </c>
      <c r="D297">
        <v>88.85</v>
      </c>
      <c r="E297">
        <v>89.25</v>
      </c>
      <c r="F297">
        <v>83.6</v>
      </c>
      <c r="G297">
        <v>84.68</v>
      </c>
      <c r="H297">
        <v>1958.2750000000001</v>
      </c>
      <c r="I297" s="2">
        <v>46088.124999988424</v>
      </c>
      <c r="J297">
        <v>168190.90925999999</v>
      </c>
      <c r="K297">
        <v>577</v>
      </c>
    </row>
    <row r="298" spans="1:11" x14ac:dyDescent="0.2">
      <c r="A298" s="1">
        <v>46088</v>
      </c>
      <c r="B298" t="s">
        <v>12</v>
      </c>
      <c r="C298" s="2">
        <v>46088.125</v>
      </c>
      <c r="D298">
        <v>84.76</v>
      </c>
      <c r="E298">
        <v>85.06</v>
      </c>
      <c r="F298">
        <v>82.33</v>
      </c>
      <c r="G298">
        <v>83.19</v>
      </c>
      <c r="H298">
        <v>1748.646</v>
      </c>
      <c r="I298" s="2">
        <v>46089.124999988424</v>
      </c>
      <c r="J298">
        <v>146489.08827000001</v>
      </c>
      <c r="K298">
        <v>347</v>
      </c>
    </row>
    <row r="299" spans="1:11" x14ac:dyDescent="0.2">
      <c r="A299" s="1">
        <v>46089</v>
      </c>
      <c r="B299" t="s">
        <v>12</v>
      </c>
      <c r="C299" s="2">
        <v>46089.125</v>
      </c>
      <c r="D299">
        <v>83.33</v>
      </c>
      <c r="E299">
        <v>84.04</v>
      </c>
      <c r="F299">
        <v>80.28</v>
      </c>
      <c r="G299">
        <v>81.67</v>
      </c>
      <c r="H299">
        <v>1634.127</v>
      </c>
      <c r="I299" s="2">
        <v>46090.124999988424</v>
      </c>
      <c r="J299">
        <v>134377.01415</v>
      </c>
      <c r="K299">
        <v>543</v>
      </c>
    </row>
    <row r="300" spans="1:11" x14ac:dyDescent="0.2">
      <c r="A300" s="1">
        <v>46090</v>
      </c>
      <c r="B300" t="s">
        <v>12</v>
      </c>
      <c r="C300" s="2">
        <v>46090.125</v>
      </c>
      <c r="D300">
        <v>81.59</v>
      </c>
      <c r="E300">
        <v>86.99</v>
      </c>
      <c r="F300">
        <v>81.59</v>
      </c>
      <c r="G300">
        <v>85</v>
      </c>
      <c r="H300">
        <v>1689.07</v>
      </c>
      <c r="I300" s="2">
        <v>46091.124999988424</v>
      </c>
      <c r="J300">
        <v>143728.03137000001</v>
      </c>
      <c r="K300">
        <v>739</v>
      </c>
    </row>
    <row r="301" spans="1:11" x14ac:dyDescent="0.2">
      <c r="A301" s="1">
        <v>46091</v>
      </c>
      <c r="B301" t="s">
        <v>12</v>
      </c>
      <c r="C301" s="2">
        <v>46091.125</v>
      </c>
      <c r="D301">
        <v>84.96</v>
      </c>
      <c r="E301">
        <v>88.79</v>
      </c>
      <c r="F301">
        <v>84.9</v>
      </c>
      <c r="G301">
        <v>85.89</v>
      </c>
      <c r="H301">
        <v>2906.4270000000001</v>
      </c>
      <c r="I301" s="2">
        <v>46092.124999988424</v>
      </c>
      <c r="J301">
        <v>251850.95055000001</v>
      </c>
      <c r="K301">
        <v>902</v>
      </c>
    </row>
    <row r="302" spans="1:11" x14ac:dyDescent="0.2">
      <c r="A302" s="1">
        <v>46092</v>
      </c>
      <c r="B302" t="s">
        <v>12</v>
      </c>
      <c r="C302" s="2">
        <v>46092.125</v>
      </c>
      <c r="D302">
        <v>85.72</v>
      </c>
      <c r="E302">
        <v>88.03</v>
      </c>
      <c r="F302">
        <v>84.41</v>
      </c>
      <c r="G302">
        <v>86.6</v>
      </c>
      <c r="H302">
        <v>6393.3339999999998</v>
      </c>
      <c r="I302" s="2">
        <v>46093.124999988424</v>
      </c>
      <c r="J302">
        <v>552595.97392000002</v>
      </c>
      <c r="K302">
        <v>1879</v>
      </c>
    </row>
    <row r="303" spans="1:11" x14ac:dyDescent="0.2">
      <c r="A303" s="1">
        <v>46093</v>
      </c>
      <c r="B303" t="s">
        <v>12</v>
      </c>
      <c r="C303" s="2">
        <v>46093.125</v>
      </c>
      <c r="D303">
        <v>86.56</v>
      </c>
      <c r="E303">
        <v>87.62</v>
      </c>
      <c r="F303">
        <v>84.75</v>
      </c>
      <c r="G303">
        <v>86.81</v>
      </c>
      <c r="H303">
        <v>1464.672</v>
      </c>
      <c r="I303" s="2">
        <v>46094.124999988424</v>
      </c>
      <c r="J303">
        <v>126388.07618</v>
      </c>
      <c r="K303">
        <v>754</v>
      </c>
    </row>
    <row r="304" spans="1:11" x14ac:dyDescent="0.2">
      <c r="A304" s="1">
        <v>46094</v>
      </c>
      <c r="B304" t="s">
        <v>12</v>
      </c>
      <c r="C304" s="2">
        <v>46094.125</v>
      </c>
      <c r="D304">
        <v>86.92</v>
      </c>
      <c r="E304">
        <v>92.88</v>
      </c>
      <c r="F304">
        <v>86.92</v>
      </c>
      <c r="G304">
        <v>88.08</v>
      </c>
      <c r="H304">
        <v>3661.7069999999999</v>
      </c>
      <c r="I304" s="2">
        <v>46095.124999988424</v>
      </c>
      <c r="J304">
        <v>328543.67447000003</v>
      </c>
      <c r="K304">
        <v>910</v>
      </c>
    </row>
    <row r="305" spans="1:11" x14ac:dyDescent="0.2">
      <c r="A305" s="1">
        <v>46095</v>
      </c>
      <c r="B305" t="s">
        <v>12</v>
      </c>
      <c r="C305" s="2">
        <v>46095.125</v>
      </c>
      <c r="D305">
        <v>88.12</v>
      </c>
      <c r="E305">
        <v>88.66</v>
      </c>
      <c r="F305">
        <v>86.62</v>
      </c>
      <c r="G305">
        <v>87.93</v>
      </c>
      <c r="H305">
        <v>1217.694</v>
      </c>
      <c r="I305" s="2">
        <v>46096.124999988424</v>
      </c>
      <c r="J305">
        <v>106753.24688000001</v>
      </c>
      <c r="K305">
        <v>292</v>
      </c>
    </row>
    <row r="306" spans="1:11" x14ac:dyDescent="0.2">
      <c r="A306" s="1">
        <v>46096</v>
      </c>
      <c r="B306" t="s">
        <v>12</v>
      </c>
      <c r="C306" s="2">
        <v>46096.125</v>
      </c>
      <c r="D306">
        <v>88.08</v>
      </c>
      <c r="E306">
        <v>93.25</v>
      </c>
      <c r="F306">
        <v>87.42</v>
      </c>
      <c r="G306">
        <v>92.29</v>
      </c>
      <c r="H306">
        <v>2106.0189999999998</v>
      </c>
      <c r="I306" s="2">
        <v>46097.124999988424</v>
      </c>
      <c r="J306">
        <v>189684.82217999999</v>
      </c>
      <c r="K306">
        <v>724</v>
      </c>
    </row>
    <row r="307" spans="1:11" x14ac:dyDescent="0.2">
      <c r="A307" s="1">
        <v>46097</v>
      </c>
      <c r="B307" t="s">
        <v>12</v>
      </c>
      <c r="C307" s="2">
        <v>46097.125</v>
      </c>
      <c r="D307">
        <v>92.61</v>
      </c>
      <c r="E307">
        <v>97.65</v>
      </c>
      <c r="F307">
        <v>91.23</v>
      </c>
      <c r="G307">
        <v>96.36</v>
      </c>
      <c r="H307">
        <v>6434.3450000000003</v>
      </c>
      <c r="I307" s="2">
        <v>46098.124999988424</v>
      </c>
      <c r="J307">
        <v>604558.21753000002</v>
      </c>
      <c r="K307">
        <v>1105</v>
      </c>
    </row>
    <row r="308" spans="1:11" x14ac:dyDescent="0.2">
      <c r="A308" s="1">
        <v>46098</v>
      </c>
      <c r="B308" t="s">
        <v>12</v>
      </c>
      <c r="C308" s="2">
        <v>46098.125</v>
      </c>
      <c r="D308">
        <v>95.82</v>
      </c>
      <c r="E308">
        <v>96.79</v>
      </c>
      <c r="F308">
        <v>93.29</v>
      </c>
      <c r="G308">
        <v>94.75</v>
      </c>
      <c r="H308">
        <v>4883.7759999999998</v>
      </c>
      <c r="I308" s="2">
        <v>46099.124999988424</v>
      </c>
      <c r="J308">
        <v>462232.65713000001</v>
      </c>
      <c r="K308">
        <v>2040</v>
      </c>
    </row>
    <row r="309" spans="1:11" x14ac:dyDescent="0.2">
      <c r="A309" s="1">
        <v>46099</v>
      </c>
      <c r="B309" t="s">
        <v>12</v>
      </c>
      <c r="C309" s="2">
        <v>46099.125</v>
      </c>
      <c r="D309">
        <v>94.65</v>
      </c>
      <c r="E309">
        <v>95.5</v>
      </c>
      <c r="F309">
        <v>88.64</v>
      </c>
      <c r="G309">
        <v>89.98</v>
      </c>
      <c r="H309">
        <v>2214.297</v>
      </c>
      <c r="I309" s="2">
        <v>46100.124999988424</v>
      </c>
      <c r="J309">
        <v>201426.93174999999</v>
      </c>
      <c r="K309">
        <v>710</v>
      </c>
    </row>
    <row r="310" spans="1:11" x14ac:dyDescent="0.2">
      <c r="A310" s="1">
        <v>46100</v>
      </c>
      <c r="B310" t="s">
        <v>12</v>
      </c>
      <c r="C310" s="2">
        <v>46100.125</v>
      </c>
      <c r="D310">
        <v>89.99</v>
      </c>
      <c r="E310">
        <v>91.39</v>
      </c>
      <c r="F310">
        <v>87</v>
      </c>
      <c r="G310">
        <v>88.93</v>
      </c>
      <c r="H310">
        <v>1802.989</v>
      </c>
      <c r="I310" s="2">
        <v>46101.124999988424</v>
      </c>
      <c r="J310">
        <v>160613.80582000001</v>
      </c>
      <c r="K310">
        <v>667</v>
      </c>
    </row>
    <row r="311" spans="1:11" x14ac:dyDescent="0.2">
      <c r="A311" s="1">
        <v>46101</v>
      </c>
      <c r="B311" t="s">
        <v>12</v>
      </c>
      <c r="C311" s="2">
        <v>46101.125</v>
      </c>
      <c r="D311">
        <v>88.94</v>
      </c>
      <c r="E311">
        <v>90.44</v>
      </c>
      <c r="F311">
        <v>88.19</v>
      </c>
      <c r="G311">
        <v>89.9</v>
      </c>
      <c r="H311">
        <v>1264.3230000000001</v>
      </c>
      <c r="I311" s="2">
        <v>46102.124999988424</v>
      </c>
      <c r="J311">
        <v>112759.62562999999</v>
      </c>
      <c r="K311">
        <v>578</v>
      </c>
    </row>
    <row r="312" spans="1:11" x14ac:dyDescent="0.2">
      <c r="A312" s="1">
        <v>46102</v>
      </c>
      <c r="B312" t="s">
        <v>12</v>
      </c>
      <c r="C312" s="2">
        <v>46102.125</v>
      </c>
      <c r="D312">
        <v>89.91</v>
      </c>
      <c r="E312">
        <v>90.73</v>
      </c>
      <c r="F312">
        <v>87.27</v>
      </c>
      <c r="G312">
        <v>87.27</v>
      </c>
      <c r="H312">
        <v>813.65700000000004</v>
      </c>
      <c r="I312" s="2">
        <v>46103.124999988424</v>
      </c>
      <c r="J312">
        <v>73135.451990000001</v>
      </c>
      <c r="K312">
        <v>452</v>
      </c>
    </row>
    <row r="313" spans="1:11" x14ac:dyDescent="0.2">
      <c r="A313" s="1">
        <v>46103</v>
      </c>
      <c r="B313" t="s">
        <v>12</v>
      </c>
      <c r="C313" s="2">
        <v>46103.125</v>
      </c>
      <c r="D313">
        <v>87.51</v>
      </c>
      <c r="E313">
        <v>89.14</v>
      </c>
      <c r="F313">
        <v>85.3</v>
      </c>
      <c r="G313">
        <v>86.22</v>
      </c>
      <c r="H313">
        <v>2675.1950000000002</v>
      </c>
      <c r="I313" s="2">
        <v>46104.124999988424</v>
      </c>
      <c r="J313">
        <v>233404.88665999999</v>
      </c>
      <c r="K313">
        <v>526</v>
      </c>
    </row>
    <row r="314" spans="1:11" x14ac:dyDescent="0.2">
      <c r="A314" s="1">
        <v>46104</v>
      </c>
      <c r="B314" t="s">
        <v>12</v>
      </c>
      <c r="C314" s="2">
        <v>46104.125</v>
      </c>
      <c r="D314">
        <v>86.29</v>
      </c>
      <c r="E314">
        <v>92.21</v>
      </c>
      <c r="F314">
        <v>85.15</v>
      </c>
      <c r="G314">
        <v>91.5</v>
      </c>
      <c r="H314">
        <v>4798.7460000000001</v>
      </c>
      <c r="I314" s="2">
        <v>46105.124999988424</v>
      </c>
      <c r="J314">
        <v>430339.74216999998</v>
      </c>
      <c r="K314">
        <v>1311</v>
      </c>
    </row>
    <row r="315" spans="1:11" x14ac:dyDescent="0.2">
      <c r="A315" s="1">
        <v>46105</v>
      </c>
      <c r="B315" t="s">
        <v>12</v>
      </c>
      <c r="C315" s="2">
        <v>46105.125</v>
      </c>
      <c r="D315">
        <v>91.45</v>
      </c>
      <c r="E315">
        <v>92.15</v>
      </c>
      <c r="F315">
        <v>88.55</v>
      </c>
      <c r="G315">
        <v>90.89</v>
      </c>
      <c r="H315">
        <v>1622.154</v>
      </c>
      <c r="I315" s="2">
        <v>46106.124999988424</v>
      </c>
      <c r="J315">
        <v>146655.11202999999</v>
      </c>
      <c r="K315">
        <v>648</v>
      </c>
    </row>
    <row r="316" spans="1:11" x14ac:dyDescent="0.2">
      <c r="A316" s="1">
        <v>46106</v>
      </c>
      <c r="B316" t="s">
        <v>12</v>
      </c>
      <c r="C316" s="2">
        <v>46106.125</v>
      </c>
      <c r="D316">
        <v>90.85</v>
      </c>
      <c r="E316">
        <v>93.39</v>
      </c>
      <c r="F316">
        <v>90.85</v>
      </c>
      <c r="G316">
        <v>91.73</v>
      </c>
      <c r="H316">
        <v>1448.692</v>
      </c>
      <c r="I316" s="2">
        <v>46107.124999988424</v>
      </c>
      <c r="J316">
        <v>133334.93565</v>
      </c>
      <c r="K316">
        <v>646</v>
      </c>
    </row>
    <row r="317" spans="1:11" x14ac:dyDescent="0.2">
      <c r="A317" s="1">
        <v>46107</v>
      </c>
      <c r="B317" t="s">
        <v>12</v>
      </c>
      <c r="C317" s="2">
        <v>46107.125</v>
      </c>
      <c r="D317">
        <v>91.7</v>
      </c>
      <c r="E317">
        <v>91.95</v>
      </c>
      <c r="F317">
        <v>85.5</v>
      </c>
      <c r="G317">
        <v>86.48</v>
      </c>
      <c r="H317">
        <v>2449.0650000000001</v>
      </c>
      <c r="I317" s="2">
        <v>46108.124999988424</v>
      </c>
      <c r="J317">
        <v>214553.94005</v>
      </c>
      <c r="K317">
        <v>728</v>
      </c>
    </row>
    <row r="318" spans="1:11" x14ac:dyDescent="0.2">
      <c r="A318" s="1">
        <v>46108</v>
      </c>
      <c r="B318" t="s">
        <v>12</v>
      </c>
      <c r="C318" s="2">
        <v>46108.125</v>
      </c>
      <c r="D318">
        <v>86.5</v>
      </c>
      <c r="E318">
        <v>87</v>
      </c>
      <c r="F318">
        <v>81.95</v>
      </c>
      <c r="G318">
        <v>83.08</v>
      </c>
      <c r="H318">
        <v>2002.319</v>
      </c>
      <c r="I318" s="2">
        <v>46109.124999988424</v>
      </c>
      <c r="J318">
        <v>168417.30673000001</v>
      </c>
      <c r="K318">
        <v>567</v>
      </c>
    </row>
    <row r="319" spans="1:11" x14ac:dyDescent="0.2">
      <c r="A319" s="1">
        <v>46109</v>
      </c>
      <c r="B319" t="s">
        <v>12</v>
      </c>
      <c r="C319" s="2">
        <v>46109.125</v>
      </c>
      <c r="D319">
        <v>83.05</v>
      </c>
      <c r="E319">
        <v>84.26</v>
      </c>
      <c r="F319">
        <v>81.8</v>
      </c>
      <c r="G319">
        <v>82.08</v>
      </c>
      <c r="H319">
        <v>1007.015</v>
      </c>
      <c r="I319" s="2">
        <v>46110.124999988424</v>
      </c>
      <c r="J319">
        <v>83538.863129999998</v>
      </c>
      <c r="K319">
        <v>331</v>
      </c>
    </row>
    <row r="320" spans="1:11" x14ac:dyDescent="0.2">
      <c r="A320" s="1">
        <v>46110</v>
      </c>
      <c r="B320" t="s">
        <v>12</v>
      </c>
      <c r="C320" s="2">
        <v>46110.125</v>
      </c>
      <c r="D320">
        <v>82.14</v>
      </c>
      <c r="E320">
        <v>83.17</v>
      </c>
      <c r="F320">
        <v>79.400000000000006</v>
      </c>
      <c r="G320">
        <v>81.400000000000006</v>
      </c>
      <c r="H320">
        <v>1181.9469999999999</v>
      </c>
      <c r="I320" s="2">
        <v>46111.124999988424</v>
      </c>
      <c r="J320">
        <v>95877.811990000002</v>
      </c>
      <c r="K320">
        <v>421</v>
      </c>
    </row>
    <row r="321" spans="1:11" x14ac:dyDescent="0.2">
      <c r="A321" s="1">
        <v>46111</v>
      </c>
      <c r="B321" t="s">
        <v>12</v>
      </c>
      <c r="C321" s="2">
        <v>46111.125</v>
      </c>
      <c r="D321">
        <v>81.459999999999994</v>
      </c>
      <c r="E321">
        <v>85.01</v>
      </c>
      <c r="F321">
        <v>81.22</v>
      </c>
      <c r="G321">
        <v>82.55</v>
      </c>
      <c r="H321">
        <v>2074.0709999999999</v>
      </c>
      <c r="I321" s="2">
        <v>46112.124999988424</v>
      </c>
      <c r="J321">
        <v>171598.54024999999</v>
      </c>
      <c r="K321">
        <v>754</v>
      </c>
    </row>
    <row r="322" spans="1:11" x14ac:dyDescent="0.2">
      <c r="A322" s="1">
        <v>46112</v>
      </c>
      <c r="B322" t="s">
        <v>12</v>
      </c>
      <c r="C322" s="2">
        <v>46112.125</v>
      </c>
      <c r="D322">
        <v>82.49</v>
      </c>
      <c r="E322">
        <v>84.57</v>
      </c>
      <c r="F322">
        <v>80.040000000000006</v>
      </c>
      <c r="G322">
        <v>83.17</v>
      </c>
      <c r="H322">
        <v>1023.186</v>
      </c>
      <c r="I322" s="2">
        <v>46113.124999988424</v>
      </c>
      <c r="J322">
        <v>83738.542929999996</v>
      </c>
      <c r="K322">
        <v>615</v>
      </c>
    </row>
    <row r="323" spans="1:11" x14ac:dyDescent="0.2">
      <c r="A323" s="1">
        <v>46113</v>
      </c>
      <c r="B323" t="s">
        <v>12</v>
      </c>
      <c r="C323" s="2">
        <v>46113.125</v>
      </c>
      <c r="D323">
        <v>83.2</v>
      </c>
      <c r="E323">
        <v>86.59</v>
      </c>
      <c r="F323">
        <v>80.81</v>
      </c>
      <c r="G323">
        <v>81.13</v>
      </c>
      <c r="H323">
        <v>1774.59</v>
      </c>
      <c r="I323" s="2">
        <v>46114.124999988424</v>
      </c>
      <c r="J323">
        <v>147857.5282</v>
      </c>
      <c r="K323">
        <v>705</v>
      </c>
    </row>
    <row r="324" spans="1:11" x14ac:dyDescent="0.2">
      <c r="A324" s="1">
        <v>46114</v>
      </c>
      <c r="B324" t="s">
        <v>12</v>
      </c>
      <c r="C324" s="2">
        <v>46114.125</v>
      </c>
      <c r="D324">
        <v>81.11</v>
      </c>
      <c r="E324">
        <v>81.69</v>
      </c>
      <c r="F324">
        <v>76.81</v>
      </c>
      <c r="G324">
        <v>78.900000000000006</v>
      </c>
      <c r="H324">
        <v>2564.9090000000001</v>
      </c>
      <c r="I324" s="2">
        <v>46115.124999988424</v>
      </c>
      <c r="J324">
        <v>201985.59406</v>
      </c>
      <c r="K324">
        <v>811</v>
      </c>
    </row>
    <row r="325" spans="1:11" x14ac:dyDescent="0.2">
      <c r="A325" s="1">
        <v>46115</v>
      </c>
      <c r="B325" t="s">
        <v>12</v>
      </c>
      <c r="C325" s="2">
        <v>46115.125</v>
      </c>
      <c r="D325">
        <v>78.97</v>
      </c>
      <c r="E325">
        <v>80.819999999999993</v>
      </c>
      <c r="F325">
        <v>78.959999999999994</v>
      </c>
      <c r="G325">
        <v>80.22</v>
      </c>
      <c r="H325">
        <v>1634.1469999999999</v>
      </c>
      <c r="I325" s="2">
        <v>46116.124999988424</v>
      </c>
      <c r="J325">
        <v>130347.01072000001</v>
      </c>
      <c r="K325">
        <v>700</v>
      </c>
    </row>
    <row r="326" spans="1:11" x14ac:dyDescent="0.2">
      <c r="A326" s="1">
        <v>46116</v>
      </c>
      <c r="B326" t="s">
        <v>12</v>
      </c>
      <c r="C326" s="2">
        <v>46116.125</v>
      </c>
      <c r="D326">
        <v>80.34</v>
      </c>
      <c r="E326">
        <v>81.569999999999993</v>
      </c>
      <c r="F326">
        <v>79.650000000000006</v>
      </c>
      <c r="G326">
        <v>80.78</v>
      </c>
      <c r="H326">
        <v>812.90499999999997</v>
      </c>
      <c r="I326" s="2">
        <v>46117.124999988424</v>
      </c>
      <c r="J326">
        <v>65552.085730000006</v>
      </c>
      <c r="K326">
        <v>365</v>
      </c>
    </row>
    <row r="327" spans="1:11" x14ac:dyDescent="0.2">
      <c r="A327" s="1">
        <v>46117</v>
      </c>
      <c r="B327" t="s">
        <v>12</v>
      </c>
      <c r="C327" s="2">
        <v>46117.125</v>
      </c>
      <c r="D327">
        <v>80.73</v>
      </c>
      <c r="E327">
        <v>82.08</v>
      </c>
      <c r="F327">
        <v>78.569999999999993</v>
      </c>
      <c r="G327">
        <v>81.94</v>
      </c>
      <c r="H327">
        <v>1518.944</v>
      </c>
      <c r="I327" s="2">
        <v>46118.124999988424</v>
      </c>
      <c r="J327">
        <v>121422.83097</v>
      </c>
      <c r="K327">
        <v>438</v>
      </c>
    </row>
    <row r="328" spans="1:11" x14ac:dyDescent="0.2">
      <c r="A328" s="1">
        <v>46118</v>
      </c>
      <c r="B328" t="s">
        <v>12</v>
      </c>
      <c r="C328" s="2">
        <v>46118.125</v>
      </c>
      <c r="D328">
        <v>82</v>
      </c>
      <c r="E328">
        <v>83.17</v>
      </c>
      <c r="F328">
        <v>79.709999999999994</v>
      </c>
      <c r="G328">
        <v>80.05</v>
      </c>
      <c r="H328">
        <v>2230.9810000000002</v>
      </c>
      <c r="I328" s="2">
        <v>46119.124999988424</v>
      </c>
      <c r="J328">
        <v>183031.81297</v>
      </c>
      <c r="K328">
        <v>622</v>
      </c>
    </row>
    <row r="329" spans="1:11" x14ac:dyDescent="0.2">
      <c r="A329" s="1">
        <v>46119</v>
      </c>
      <c r="B329" t="s">
        <v>12</v>
      </c>
      <c r="C329" s="2">
        <v>46119.125</v>
      </c>
      <c r="D329">
        <v>79.97</v>
      </c>
      <c r="E329">
        <v>86.98</v>
      </c>
      <c r="F329">
        <v>78.41</v>
      </c>
      <c r="G329">
        <v>85.58</v>
      </c>
      <c r="H329">
        <v>3377.15</v>
      </c>
      <c r="I329" s="2">
        <v>46120.124999988424</v>
      </c>
      <c r="J329">
        <v>277858.5111</v>
      </c>
      <c r="K329">
        <v>962</v>
      </c>
    </row>
    <row r="330" spans="1:11" x14ac:dyDescent="0.2">
      <c r="A330" s="1">
        <v>46120</v>
      </c>
      <c r="B330" t="s">
        <v>12</v>
      </c>
      <c r="C330" s="2">
        <v>46120.125</v>
      </c>
      <c r="D330">
        <v>85.8</v>
      </c>
      <c r="E330">
        <v>85.8</v>
      </c>
      <c r="F330">
        <v>82.35</v>
      </c>
      <c r="G330">
        <v>82.61</v>
      </c>
      <c r="H330">
        <v>1674.9829999999999</v>
      </c>
      <c r="I330" s="2">
        <v>46121.124999988424</v>
      </c>
      <c r="J330">
        <v>140871.65317999999</v>
      </c>
      <c r="K330">
        <v>595</v>
      </c>
    </row>
    <row r="331" spans="1:11" x14ac:dyDescent="0.2">
      <c r="A331" s="1">
        <v>46121</v>
      </c>
      <c r="B331" t="s">
        <v>12</v>
      </c>
      <c r="C331" s="2">
        <v>46121.125</v>
      </c>
      <c r="D331">
        <v>82.56</v>
      </c>
      <c r="E331">
        <v>85.86</v>
      </c>
      <c r="F331">
        <v>81.459999999999994</v>
      </c>
      <c r="G331">
        <v>83.32</v>
      </c>
      <c r="H331">
        <v>1873.5540000000001</v>
      </c>
      <c r="I331" s="2">
        <v>46122.124999988424</v>
      </c>
      <c r="J331">
        <v>156349.87985</v>
      </c>
      <c r="K331">
        <v>751</v>
      </c>
    </row>
    <row r="332" spans="1:11" x14ac:dyDescent="0.2">
      <c r="A332" s="1">
        <v>46122</v>
      </c>
      <c r="B332" t="s">
        <v>12</v>
      </c>
      <c r="C332" s="2">
        <v>46122.125</v>
      </c>
      <c r="D332">
        <v>83.26</v>
      </c>
      <c r="E332">
        <v>85.6</v>
      </c>
      <c r="F332">
        <v>82.7</v>
      </c>
      <c r="G332">
        <v>84.83</v>
      </c>
      <c r="H332">
        <v>1043.5</v>
      </c>
      <c r="I332" s="2">
        <v>46123.124999988424</v>
      </c>
      <c r="J332">
        <v>87871.939989999999</v>
      </c>
      <c r="K332">
        <v>696</v>
      </c>
    </row>
    <row r="333" spans="1:11" x14ac:dyDescent="0.2">
      <c r="A333" s="1">
        <v>46123</v>
      </c>
      <c r="B333" t="s">
        <v>12</v>
      </c>
      <c r="C333" s="2">
        <v>46123.125</v>
      </c>
      <c r="D333">
        <v>84.78</v>
      </c>
      <c r="E333">
        <v>86.22</v>
      </c>
      <c r="F333">
        <v>83.8</v>
      </c>
      <c r="G333">
        <v>84.97</v>
      </c>
      <c r="H333">
        <v>1140.0609999999999</v>
      </c>
      <c r="I333" s="2">
        <v>46124.124999988424</v>
      </c>
      <c r="J333">
        <v>96860.761759999994</v>
      </c>
      <c r="K333">
        <v>763</v>
      </c>
    </row>
    <row r="334" spans="1:11" x14ac:dyDescent="0.2">
      <c r="A334" s="1">
        <v>46124</v>
      </c>
      <c r="B334" t="s">
        <v>12</v>
      </c>
      <c r="C334" s="2">
        <v>46124.125</v>
      </c>
      <c r="D334">
        <v>84.87</v>
      </c>
      <c r="E334">
        <v>84.98</v>
      </c>
      <c r="F334">
        <v>81.31</v>
      </c>
      <c r="G334">
        <v>81.459999999999994</v>
      </c>
      <c r="H334">
        <v>1280.76</v>
      </c>
      <c r="I334" s="2">
        <v>46125.124999988424</v>
      </c>
      <c r="J334">
        <v>105396.1765</v>
      </c>
      <c r="K334">
        <v>666</v>
      </c>
    </row>
    <row r="335" spans="1:11" x14ac:dyDescent="0.2">
      <c r="A335" s="1">
        <v>46125</v>
      </c>
      <c r="B335" t="s">
        <v>12</v>
      </c>
      <c r="C335" s="2">
        <v>46125.125</v>
      </c>
      <c r="D335">
        <v>81.52</v>
      </c>
      <c r="E335">
        <v>86.77</v>
      </c>
      <c r="F335">
        <v>81.430000000000007</v>
      </c>
      <c r="G335">
        <v>86.56</v>
      </c>
      <c r="H335">
        <v>1985.357</v>
      </c>
      <c r="I335" s="2">
        <v>46126.124999988424</v>
      </c>
      <c r="J335">
        <v>168069.89253000001</v>
      </c>
      <c r="K335">
        <v>821</v>
      </c>
    </row>
    <row r="336" spans="1:11" x14ac:dyDescent="0.2">
      <c r="A336" s="1">
        <v>46126</v>
      </c>
      <c r="B336" t="s">
        <v>12</v>
      </c>
      <c r="C336" s="2">
        <v>46126.125</v>
      </c>
      <c r="D336">
        <v>86.65</v>
      </c>
      <c r="E336">
        <v>87.62</v>
      </c>
      <c r="F336">
        <v>83.35</v>
      </c>
      <c r="G336">
        <v>83.84</v>
      </c>
      <c r="H336">
        <v>1857.0440000000001</v>
      </c>
      <c r="I336" s="2">
        <v>46127.124999988424</v>
      </c>
      <c r="J336">
        <v>158924.66641999999</v>
      </c>
      <c r="K336">
        <v>847</v>
      </c>
    </row>
    <row r="337" spans="1:11" x14ac:dyDescent="0.2">
      <c r="A337" s="1">
        <v>46127</v>
      </c>
      <c r="B337" t="s">
        <v>12</v>
      </c>
      <c r="C337" s="2">
        <v>46127.125</v>
      </c>
      <c r="D337">
        <v>83.8</v>
      </c>
      <c r="E337">
        <v>85.77</v>
      </c>
      <c r="F337">
        <v>82.69</v>
      </c>
      <c r="G337">
        <v>84.87</v>
      </c>
      <c r="H337">
        <v>931.95100000000002</v>
      </c>
      <c r="I337" s="2">
        <v>46128.124999988424</v>
      </c>
      <c r="J337">
        <v>78420.968070000003</v>
      </c>
      <c r="K337">
        <v>545</v>
      </c>
    </row>
    <row r="338" spans="1:11" x14ac:dyDescent="0.2">
      <c r="A338" s="1">
        <v>46128</v>
      </c>
      <c r="B338" t="s">
        <v>12</v>
      </c>
      <c r="C338" s="2">
        <v>46128.125</v>
      </c>
      <c r="D338">
        <v>84.87</v>
      </c>
      <c r="E338">
        <v>90.47</v>
      </c>
      <c r="F338">
        <v>83.85</v>
      </c>
      <c r="G338">
        <v>89.05</v>
      </c>
      <c r="H338">
        <v>2258.0529999999999</v>
      </c>
      <c r="I338" s="2">
        <v>46129.124999988424</v>
      </c>
      <c r="J338">
        <v>197609.65518999999</v>
      </c>
      <c r="K338">
        <v>947</v>
      </c>
    </row>
    <row r="339" spans="1:11" x14ac:dyDescent="0.2">
      <c r="A339" s="1">
        <v>46129</v>
      </c>
      <c r="B339" t="s">
        <v>12</v>
      </c>
      <c r="C339" s="2">
        <v>46129.125</v>
      </c>
      <c r="D339">
        <v>89.09</v>
      </c>
      <c r="E339">
        <v>90.7</v>
      </c>
      <c r="F339">
        <v>87.41</v>
      </c>
      <c r="G339">
        <v>88.83</v>
      </c>
      <c r="H339">
        <v>3396.4340000000002</v>
      </c>
      <c r="I339" s="2">
        <v>46130.124999988424</v>
      </c>
      <c r="J339">
        <v>302027.08740999998</v>
      </c>
      <c r="K339">
        <v>773</v>
      </c>
    </row>
    <row r="340" spans="1:11" x14ac:dyDescent="0.2">
      <c r="A340" s="1">
        <v>46130</v>
      </c>
      <c r="B340" t="s">
        <v>12</v>
      </c>
      <c r="C340" s="2">
        <v>46130.125</v>
      </c>
      <c r="D340">
        <v>88.95</v>
      </c>
      <c r="E340">
        <v>89.16</v>
      </c>
      <c r="F340">
        <v>85.92</v>
      </c>
      <c r="G340">
        <v>86.15</v>
      </c>
      <c r="H340">
        <v>1238.146</v>
      </c>
      <c r="I340" s="2">
        <v>46131.124999988424</v>
      </c>
      <c r="J340">
        <v>108086.10991</v>
      </c>
      <c r="K340">
        <v>460</v>
      </c>
    </row>
    <row r="341" spans="1:11" x14ac:dyDescent="0.2">
      <c r="A341" s="1">
        <v>46131</v>
      </c>
      <c r="B341" t="s">
        <v>12</v>
      </c>
      <c r="C341" s="2">
        <v>46131.125</v>
      </c>
      <c r="D341">
        <v>86.22</v>
      </c>
      <c r="E341">
        <v>87.06</v>
      </c>
      <c r="F341">
        <v>83</v>
      </c>
      <c r="G341">
        <v>83.52</v>
      </c>
      <c r="H341">
        <v>1323.461</v>
      </c>
      <c r="I341" s="2">
        <v>46132.124999988424</v>
      </c>
      <c r="J341">
        <v>111772.80467</v>
      </c>
      <c r="K341">
        <v>492</v>
      </c>
    </row>
    <row r="342" spans="1:11" x14ac:dyDescent="0.2">
      <c r="A342" s="1">
        <v>46132</v>
      </c>
      <c r="B342" t="s">
        <v>12</v>
      </c>
      <c r="C342" s="2">
        <v>46132.125</v>
      </c>
      <c r="D342">
        <v>83.45</v>
      </c>
      <c r="E342">
        <v>86.19</v>
      </c>
      <c r="F342">
        <v>83.44</v>
      </c>
      <c r="G342">
        <v>85.35</v>
      </c>
      <c r="H342">
        <v>693.54600000000005</v>
      </c>
      <c r="I342" s="2">
        <v>46133.124999988424</v>
      </c>
      <c r="J342">
        <v>59107.196689999997</v>
      </c>
      <c r="K342">
        <v>578</v>
      </c>
    </row>
    <row r="343" spans="1:11" x14ac:dyDescent="0.2">
      <c r="A343" s="1">
        <v>46133</v>
      </c>
      <c r="B343" t="s">
        <v>12</v>
      </c>
      <c r="C343" s="2">
        <v>46133.125</v>
      </c>
      <c r="D343">
        <v>85.27</v>
      </c>
      <c r="E343">
        <v>86.86</v>
      </c>
      <c r="F343">
        <v>84.35</v>
      </c>
      <c r="G343">
        <v>86.02</v>
      </c>
      <c r="H343">
        <v>1163.348</v>
      </c>
      <c r="I343" s="2">
        <v>46134.124999988424</v>
      </c>
      <c r="J343">
        <v>99309.014320000002</v>
      </c>
      <c r="K343">
        <v>483</v>
      </c>
    </row>
    <row r="344" spans="1:11" x14ac:dyDescent="0.2">
      <c r="A344" s="1">
        <v>46134</v>
      </c>
      <c r="B344" t="s">
        <v>12</v>
      </c>
      <c r="C344" s="2">
        <v>46134.125</v>
      </c>
      <c r="D344">
        <v>86.04</v>
      </c>
      <c r="E344">
        <v>89.32</v>
      </c>
      <c r="F344">
        <v>86.04</v>
      </c>
      <c r="G344">
        <v>86.99</v>
      </c>
      <c r="H344">
        <v>2182.299</v>
      </c>
      <c r="I344" s="2">
        <v>46135.124999988424</v>
      </c>
      <c r="J344">
        <v>191494.62349</v>
      </c>
      <c r="K344">
        <v>650</v>
      </c>
    </row>
    <row r="345" spans="1:11" x14ac:dyDescent="0.2">
      <c r="A345" s="1">
        <v>46135</v>
      </c>
      <c r="B345" t="s">
        <v>12</v>
      </c>
      <c r="C345" s="2">
        <v>46135.125</v>
      </c>
      <c r="D345">
        <v>87</v>
      </c>
      <c r="E345">
        <v>87.1</v>
      </c>
      <c r="F345">
        <v>84.55</v>
      </c>
      <c r="G345">
        <v>86.14</v>
      </c>
      <c r="H345">
        <v>1336.008</v>
      </c>
      <c r="I345" s="2">
        <v>46136.124999988424</v>
      </c>
      <c r="J345">
        <v>114747.96165</v>
      </c>
      <c r="K345">
        <v>529</v>
      </c>
    </row>
    <row r="346" spans="1:11" x14ac:dyDescent="0.2">
      <c r="A346" s="1">
        <v>46136</v>
      </c>
      <c r="B346" t="s">
        <v>12</v>
      </c>
      <c r="C346" s="2">
        <v>46136.125</v>
      </c>
      <c r="D346">
        <v>86.13</v>
      </c>
      <c r="E346">
        <v>86.91</v>
      </c>
      <c r="F346">
        <v>85.03</v>
      </c>
      <c r="G346">
        <v>86.23</v>
      </c>
      <c r="H346">
        <v>1239.4369999999999</v>
      </c>
      <c r="I346" s="2">
        <v>46137.124999988424</v>
      </c>
      <c r="J346">
        <v>106675.58902</v>
      </c>
      <c r="K346">
        <v>398</v>
      </c>
    </row>
    <row r="347" spans="1:11" x14ac:dyDescent="0.2">
      <c r="A347" s="1">
        <v>46137</v>
      </c>
      <c r="B347" t="s">
        <v>12</v>
      </c>
      <c r="C347" s="2">
        <v>46137.125</v>
      </c>
      <c r="D347">
        <v>86.17</v>
      </c>
      <c r="E347">
        <v>86.7</v>
      </c>
      <c r="F347">
        <v>85.48</v>
      </c>
      <c r="G347">
        <v>86.12</v>
      </c>
      <c r="H347">
        <v>976.39599999999996</v>
      </c>
      <c r="I347" s="2">
        <v>46138.124999988424</v>
      </c>
      <c r="J347">
        <v>84161.96471</v>
      </c>
      <c r="K347">
        <v>247</v>
      </c>
    </row>
    <row r="348" spans="1:11" x14ac:dyDescent="0.2">
      <c r="A348" s="1">
        <v>46138</v>
      </c>
      <c r="B348" t="s">
        <v>12</v>
      </c>
      <c r="C348" s="2">
        <v>46138.125</v>
      </c>
      <c r="D348">
        <v>86.18</v>
      </c>
      <c r="E348">
        <v>87.28</v>
      </c>
      <c r="F348">
        <v>85.88</v>
      </c>
      <c r="G348">
        <v>87.1</v>
      </c>
      <c r="H348">
        <v>1721.1949999999999</v>
      </c>
      <c r="I348" s="2">
        <v>46139.124999988424</v>
      </c>
      <c r="J348">
        <v>148926.62025000001</v>
      </c>
      <c r="K348">
        <v>406</v>
      </c>
    </row>
    <row r="349" spans="1:11" x14ac:dyDescent="0.2">
      <c r="A349" s="1">
        <v>46139</v>
      </c>
      <c r="B349" t="s">
        <v>12</v>
      </c>
      <c r="C349" s="2">
        <v>46139.125</v>
      </c>
      <c r="D349">
        <v>86.92</v>
      </c>
      <c r="E349">
        <v>88.03</v>
      </c>
      <c r="F349">
        <v>83.71</v>
      </c>
      <c r="G349">
        <v>84.68</v>
      </c>
      <c r="H349">
        <v>3316.48</v>
      </c>
      <c r="I349" s="2">
        <v>46140.124999988424</v>
      </c>
      <c r="J349">
        <v>281842.64231000002</v>
      </c>
      <c r="K349">
        <v>769</v>
      </c>
    </row>
    <row r="350" spans="1:11" x14ac:dyDescent="0.2">
      <c r="A350" s="1">
        <v>46140</v>
      </c>
      <c r="B350" t="s">
        <v>12</v>
      </c>
      <c r="C350" s="2">
        <v>46140.125</v>
      </c>
      <c r="D350">
        <v>84.84</v>
      </c>
      <c r="E350">
        <v>84.84</v>
      </c>
      <c r="F350">
        <v>83.03</v>
      </c>
      <c r="G350">
        <v>84.01</v>
      </c>
      <c r="H350">
        <v>1966.027</v>
      </c>
      <c r="I350" s="2">
        <v>46141.124999988424</v>
      </c>
      <c r="J350">
        <v>164819.52101999999</v>
      </c>
      <c r="K350">
        <v>447</v>
      </c>
    </row>
    <row r="351" spans="1:11" x14ac:dyDescent="0.2">
      <c r="A351" s="1">
        <v>46141</v>
      </c>
      <c r="B351" t="s">
        <v>12</v>
      </c>
      <c r="C351" s="2">
        <v>46141.125</v>
      </c>
      <c r="D351">
        <v>84.05</v>
      </c>
      <c r="E351">
        <v>85.51</v>
      </c>
      <c r="F351">
        <v>81.459999999999994</v>
      </c>
      <c r="G351">
        <v>82.96</v>
      </c>
      <c r="H351">
        <v>2674.53</v>
      </c>
      <c r="I351" s="2">
        <v>46142.124999988424</v>
      </c>
      <c r="J351">
        <v>224436.60271000001</v>
      </c>
      <c r="K351">
        <v>1126</v>
      </c>
    </row>
    <row r="352" spans="1:11" x14ac:dyDescent="0.2">
      <c r="A352" s="1">
        <v>46142</v>
      </c>
      <c r="B352" t="s">
        <v>12</v>
      </c>
      <c r="C352" s="2">
        <v>46142.125</v>
      </c>
      <c r="D352">
        <v>83.11</v>
      </c>
      <c r="E352">
        <v>83.97</v>
      </c>
      <c r="F352">
        <v>82.22</v>
      </c>
      <c r="G352">
        <v>83.09</v>
      </c>
      <c r="H352">
        <v>1186.75</v>
      </c>
      <c r="I352" s="2">
        <v>46143.124999988424</v>
      </c>
      <c r="J352">
        <v>98841.996979999996</v>
      </c>
      <c r="K352">
        <v>689</v>
      </c>
    </row>
    <row r="353" spans="1:11" x14ac:dyDescent="0.2">
      <c r="A353" s="1">
        <v>46143</v>
      </c>
      <c r="B353" t="s">
        <v>12</v>
      </c>
      <c r="C353" s="2">
        <v>46143.125</v>
      </c>
      <c r="D353">
        <v>83.11</v>
      </c>
      <c r="E353">
        <v>84.8</v>
      </c>
      <c r="F353">
        <v>83.11</v>
      </c>
      <c r="G353">
        <v>83.7</v>
      </c>
      <c r="H353">
        <v>1273.954</v>
      </c>
      <c r="I353" s="2">
        <v>46144.124999988424</v>
      </c>
      <c r="J353">
        <v>106886.11648</v>
      </c>
      <c r="K353">
        <v>567</v>
      </c>
    </row>
    <row r="354" spans="1:11" x14ac:dyDescent="0.2">
      <c r="A354" s="1">
        <v>46144</v>
      </c>
      <c r="B354" t="s">
        <v>12</v>
      </c>
      <c r="C354" s="2">
        <v>46144.125</v>
      </c>
      <c r="D354">
        <v>83.75</v>
      </c>
      <c r="E354">
        <v>84.92</v>
      </c>
      <c r="F354">
        <v>83.52</v>
      </c>
      <c r="G354">
        <v>84.45</v>
      </c>
      <c r="H354">
        <v>1471.7570000000001</v>
      </c>
      <c r="I354" s="2">
        <v>46145.124999988424</v>
      </c>
      <c r="J354">
        <v>123654.51965</v>
      </c>
      <c r="K354">
        <v>405</v>
      </c>
    </row>
    <row r="355" spans="1:11" x14ac:dyDescent="0.2">
      <c r="A355" s="1">
        <v>46145</v>
      </c>
      <c r="B355" t="s">
        <v>12</v>
      </c>
      <c r="C355" s="2">
        <v>46145.125</v>
      </c>
      <c r="D355">
        <v>84.28</v>
      </c>
      <c r="E355">
        <v>84.93</v>
      </c>
      <c r="F355">
        <v>83.59</v>
      </c>
      <c r="G355">
        <v>83.95</v>
      </c>
      <c r="H355">
        <v>1807.961</v>
      </c>
      <c r="I355" s="2">
        <v>46146.124999988424</v>
      </c>
      <c r="J355">
        <v>152362.36324000001</v>
      </c>
      <c r="K355">
        <v>535</v>
      </c>
    </row>
    <row r="356" spans="1:11" x14ac:dyDescent="0.2">
      <c r="A356" s="1">
        <v>46146</v>
      </c>
      <c r="B356" t="s">
        <v>12</v>
      </c>
      <c r="C356" s="2">
        <v>46146.125</v>
      </c>
      <c r="D356">
        <v>83.86</v>
      </c>
      <c r="E356">
        <v>85.86</v>
      </c>
      <c r="F356">
        <v>83.31</v>
      </c>
      <c r="G356">
        <v>84.1</v>
      </c>
      <c r="H356">
        <v>4514.1229999999996</v>
      </c>
      <c r="I356" s="2">
        <v>46147.124999988424</v>
      </c>
      <c r="J356">
        <v>380817.90745</v>
      </c>
      <c r="K356">
        <v>951</v>
      </c>
    </row>
    <row r="357" spans="1:11" x14ac:dyDescent="0.2">
      <c r="A357" s="1">
        <v>46147</v>
      </c>
      <c r="B357" t="s">
        <v>12</v>
      </c>
      <c r="C357" s="2">
        <v>46147.125</v>
      </c>
      <c r="D357">
        <v>84.07</v>
      </c>
      <c r="E357">
        <v>86.92</v>
      </c>
      <c r="F357">
        <v>84.07</v>
      </c>
      <c r="G357">
        <v>86.36</v>
      </c>
      <c r="H357">
        <v>3620.0790000000002</v>
      </c>
      <c r="I357" s="2">
        <v>46148.124999988424</v>
      </c>
      <c r="J357">
        <v>309833.67453000002</v>
      </c>
      <c r="K357">
        <v>1156</v>
      </c>
    </row>
    <row r="358" spans="1:11" x14ac:dyDescent="0.2">
      <c r="A358" s="1">
        <v>46148</v>
      </c>
      <c r="B358" t="s">
        <v>12</v>
      </c>
      <c r="C358" s="2">
        <v>46148.125</v>
      </c>
      <c r="D358">
        <v>86.33</v>
      </c>
      <c r="E358">
        <v>89.97</v>
      </c>
      <c r="F358">
        <v>86.13</v>
      </c>
      <c r="G358">
        <v>89.13</v>
      </c>
      <c r="H358">
        <v>9444.0570000000007</v>
      </c>
      <c r="I358" s="2">
        <v>46149.124999988424</v>
      </c>
      <c r="J358">
        <v>826294.84320999996</v>
      </c>
      <c r="K358">
        <v>2001</v>
      </c>
    </row>
    <row r="359" spans="1:11" x14ac:dyDescent="0.2">
      <c r="A359" s="1">
        <v>46149</v>
      </c>
      <c r="B359" t="s">
        <v>12</v>
      </c>
      <c r="C359" s="2">
        <v>46149.125</v>
      </c>
      <c r="D359">
        <v>89.14</v>
      </c>
      <c r="E359">
        <v>90.42</v>
      </c>
      <c r="F359">
        <v>87.68</v>
      </c>
      <c r="G359">
        <v>88.42</v>
      </c>
      <c r="H359">
        <v>1926.914</v>
      </c>
      <c r="I359" s="2">
        <v>46150.124999988424</v>
      </c>
      <c r="J359">
        <v>170679.44003999999</v>
      </c>
      <c r="K359">
        <v>1211</v>
      </c>
    </row>
    <row r="360" spans="1:11" x14ac:dyDescent="0.2">
      <c r="A360" s="1">
        <v>46150</v>
      </c>
      <c r="B360" t="s">
        <v>12</v>
      </c>
      <c r="C360" s="2">
        <v>46150.125</v>
      </c>
      <c r="D360">
        <v>88.46</v>
      </c>
      <c r="E360">
        <v>92.76</v>
      </c>
      <c r="F360">
        <v>87.69</v>
      </c>
      <c r="G360">
        <v>91.94</v>
      </c>
      <c r="H360">
        <v>5545.3450000000003</v>
      </c>
      <c r="I360" s="2">
        <v>46151.124999988424</v>
      </c>
      <c r="J360">
        <v>500408.91003000003</v>
      </c>
      <c r="K360">
        <v>1351</v>
      </c>
    </row>
    <row r="361" spans="1:11" x14ac:dyDescent="0.2">
      <c r="A361" s="1">
        <v>46151</v>
      </c>
      <c r="B361" t="s">
        <v>12</v>
      </c>
      <c r="C361" s="2">
        <v>46151.125</v>
      </c>
      <c r="D361">
        <v>91.92</v>
      </c>
      <c r="E361">
        <v>94.13</v>
      </c>
      <c r="F361">
        <v>91.92</v>
      </c>
      <c r="G361">
        <v>93.15</v>
      </c>
      <c r="H361">
        <v>5867.0770000000002</v>
      </c>
      <c r="I361" s="2">
        <v>46152.124999988424</v>
      </c>
      <c r="J361">
        <v>546612.54741</v>
      </c>
      <c r="K361">
        <v>1534</v>
      </c>
    </row>
    <row r="362" spans="1:11" x14ac:dyDescent="0.2">
      <c r="A362" s="1">
        <v>46152</v>
      </c>
      <c r="B362" t="s">
        <v>12</v>
      </c>
      <c r="C362" s="2">
        <v>46152.125</v>
      </c>
      <c r="D362">
        <v>93.05</v>
      </c>
      <c r="E362">
        <v>96.9</v>
      </c>
      <c r="F362">
        <v>92.66</v>
      </c>
      <c r="G362">
        <v>96.38</v>
      </c>
      <c r="H362">
        <v>5743.4949999999999</v>
      </c>
      <c r="I362" s="2">
        <v>46153.124999988424</v>
      </c>
      <c r="J362">
        <v>543634.84774</v>
      </c>
      <c r="K362">
        <v>1605</v>
      </c>
    </row>
    <row r="363" spans="1:11" x14ac:dyDescent="0.2">
      <c r="A363" s="1">
        <v>46153</v>
      </c>
      <c r="B363" t="s">
        <v>12</v>
      </c>
      <c r="C363" s="2">
        <v>46153.125</v>
      </c>
      <c r="D363">
        <v>96.53</v>
      </c>
      <c r="E363">
        <v>98.4</v>
      </c>
      <c r="F363">
        <v>93.32</v>
      </c>
      <c r="G363">
        <v>97.45</v>
      </c>
      <c r="H363">
        <v>4078.5810000000001</v>
      </c>
      <c r="I363" s="2">
        <v>46154.124999988424</v>
      </c>
      <c r="J363">
        <v>391230.86956999998</v>
      </c>
      <c r="K363">
        <v>1963</v>
      </c>
    </row>
    <row r="364" spans="1:11" x14ac:dyDescent="0.2">
      <c r="A364" s="1">
        <v>46154</v>
      </c>
      <c r="B364" t="s">
        <v>12</v>
      </c>
      <c r="C364" s="2">
        <v>46154.125</v>
      </c>
      <c r="D364">
        <v>97.36</v>
      </c>
      <c r="E364">
        <v>97.69</v>
      </c>
      <c r="F364">
        <v>93.64</v>
      </c>
      <c r="G364">
        <v>94.32</v>
      </c>
      <c r="H364">
        <v>4045.6129999999998</v>
      </c>
      <c r="I364" s="2">
        <v>46155.124999988424</v>
      </c>
      <c r="J364">
        <v>384279.81683999998</v>
      </c>
      <c r="K364">
        <v>1180</v>
      </c>
    </row>
    <row r="365" spans="1:11" x14ac:dyDescent="0.2">
      <c r="A365" s="1">
        <v>46155</v>
      </c>
      <c r="B365" t="s">
        <v>12</v>
      </c>
      <c r="C365" s="2">
        <v>46155.125</v>
      </c>
      <c r="D365">
        <v>94.12</v>
      </c>
      <c r="E365">
        <v>96</v>
      </c>
      <c r="F365">
        <v>90.31</v>
      </c>
      <c r="G365">
        <v>91.16</v>
      </c>
      <c r="H365">
        <v>4668.9769999999999</v>
      </c>
      <c r="I365" s="2">
        <v>46156.124999988424</v>
      </c>
      <c r="J365">
        <v>433479.63591999997</v>
      </c>
      <c r="K365">
        <v>1455</v>
      </c>
    </row>
    <row r="366" spans="1:11" x14ac:dyDescent="0.2">
      <c r="A366" s="1">
        <v>46156</v>
      </c>
      <c r="B366" t="s">
        <v>12</v>
      </c>
      <c r="C366" s="2">
        <v>46156.125</v>
      </c>
      <c r="D366">
        <v>91.25</v>
      </c>
      <c r="E366">
        <v>93.62</v>
      </c>
      <c r="F366">
        <v>89.88</v>
      </c>
      <c r="G366">
        <v>92.17</v>
      </c>
      <c r="H366">
        <v>2265.049</v>
      </c>
      <c r="I366" s="2">
        <v>46157.124999988424</v>
      </c>
      <c r="J366">
        <v>207893.11126999999</v>
      </c>
      <c r="K366">
        <v>975</v>
      </c>
    </row>
    <row r="367" spans="1:11" x14ac:dyDescent="0.2">
      <c r="A367" s="1">
        <v>46157</v>
      </c>
      <c r="B367" t="s">
        <v>12</v>
      </c>
      <c r="C367" s="2">
        <v>46157.125</v>
      </c>
      <c r="D367">
        <v>92.17</v>
      </c>
      <c r="E367">
        <v>92.64</v>
      </c>
      <c r="F367">
        <v>88.54</v>
      </c>
      <c r="G367">
        <v>89.84</v>
      </c>
      <c r="H367">
        <v>3185.5929999999998</v>
      </c>
      <c r="I367" s="2">
        <v>46158.124999988424</v>
      </c>
      <c r="J367">
        <v>288840.80958</v>
      </c>
      <c r="K367">
        <v>961</v>
      </c>
    </row>
  </sheetData>
  <dataConsolidate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030E0-C621-EA4E-AD9D-62D6D23C6CBD}">
  <dimension ref="A1:O367"/>
  <sheetViews>
    <sheetView tabSelected="1" topLeftCell="F1" zoomScale="90" zoomScaleNormal="90" workbookViewId="0">
      <selection activeCell="J9" sqref="J9"/>
    </sheetView>
  </sheetViews>
  <sheetFormatPr baseColWidth="10" defaultRowHeight="17" x14ac:dyDescent="0.25"/>
  <cols>
    <col min="1" max="1" width="14" style="3" customWidth="1"/>
    <col min="2" max="2" width="17.6640625" style="4" customWidth="1"/>
    <col min="3" max="3" width="16.83203125" style="4" customWidth="1"/>
    <col min="4" max="4" width="21.1640625" style="5" customWidth="1"/>
    <col min="5" max="5" width="17.1640625" style="4" customWidth="1"/>
    <col min="6" max="6" width="15.83203125" style="4" customWidth="1"/>
    <col min="7" max="7" width="18.1640625" style="4" customWidth="1"/>
    <col min="8" max="8" width="13.83203125" style="5" customWidth="1"/>
    <col min="9" max="9" width="21.83203125" style="4" customWidth="1"/>
    <col min="10" max="10" width="10.83203125" style="4"/>
    <col min="11" max="11" width="20.5" style="4" customWidth="1"/>
    <col min="12" max="12" width="14.33203125" style="4" customWidth="1"/>
    <col min="13" max="13" width="13.33203125" style="4" bestFit="1" customWidth="1"/>
    <col min="14" max="14" width="20.33203125" style="4" customWidth="1"/>
    <col min="15" max="15" width="21" style="4" customWidth="1"/>
    <col min="16" max="16384" width="10.83203125" style="4"/>
  </cols>
  <sheetData>
    <row r="1" spans="1:15" x14ac:dyDescent="0.25">
      <c r="A1" s="3" t="s">
        <v>0</v>
      </c>
      <c r="B1" s="4" t="s">
        <v>13</v>
      </c>
      <c r="C1" s="4" t="s">
        <v>14</v>
      </c>
      <c r="D1" s="5" t="s">
        <v>15</v>
      </c>
      <c r="E1" s="4" t="s">
        <v>16</v>
      </c>
      <c r="F1" s="4" t="s">
        <v>17</v>
      </c>
      <c r="G1" s="4" t="s">
        <v>18</v>
      </c>
      <c r="H1" s="5" t="s">
        <v>19</v>
      </c>
      <c r="I1" s="4" t="s">
        <v>20</v>
      </c>
      <c r="K1" s="4" t="s">
        <v>21</v>
      </c>
      <c r="L1" s="4" t="s">
        <v>22</v>
      </c>
      <c r="M1" s="4" t="s">
        <v>26</v>
      </c>
      <c r="N1" s="4" t="s">
        <v>27</v>
      </c>
      <c r="O1" s="4" t="s">
        <v>28</v>
      </c>
    </row>
    <row r="2" spans="1:15" x14ac:dyDescent="0.25">
      <c r="A2" s="3" cm="1">
        <f t="array" ref="A2:A367">tbl_btc_daily[Date]</f>
        <v>45792</v>
      </c>
      <c r="B2" s="4" cm="1">
        <f t="array" ref="B2:B367">_xlfn.XLOOKUP(_xlfn.ANCHORARRAY(A2), tbl_btc_daily[Date], tbl_btc_daily[Close])</f>
        <v>103851.28</v>
      </c>
      <c r="C2" s="4" cm="1">
        <f t="array" ref="C2:C367">_xlfn.XLOOKUP(_xlfn.ANCHORARRAY(A2), tbl_sol_daily[Date], tbl_sol_daily[Close])</f>
        <v>169.16</v>
      </c>
      <c r="D2" s="5" cm="1">
        <f t="array" ref="D2:D367">(_xlfn.ANCHORARRAY(B2) /_xlfn.ANCHORARRAY( C2))</f>
        <v>613.92338614329628</v>
      </c>
      <c r="K2" s="4" t="s">
        <v>23</v>
      </c>
      <c r="L2" s="4">
        <f>COUNTIF(I31:I367,K2)</f>
        <v>25</v>
      </c>
      <c r="M2" s="6">
        <f>L2/SUM(L2:L4)</f>
        <v>7.418397626112759E-2</v>
      </c>
    </row>
    <row r="3" spans="1:15" x14ac:dyDescent="0.25">
      <c r="A3" s="3">
        <v>45793</v>
      </c>
      <c r="B3" s="4">
        <v>103397.56</v>
      </c>
      <c r="C3" s="4">
        <v>167.3</v>
      </c>
      <c r="D3" s="5">
        <v>618.03682008368196</v>
      </c>
      <c r="K3" s="4" t="s">
        <v>24</v>
      </c>
      <c r="L3" s="4">
        <f>COUNTIF(I31:I367,K3)</f>
        <v>12</v>
      </c>
      <c r="M3" s="6">
        <f>L3/SUM(L2:L4)</f>
        <v>3.5608308605341248E-2</v>
      </c>
    </row>
    <row r="4" spans="1:15" x14ac:dyDescent="0.25">
      <c r="A4" s="3">
        <v>45794</v>
      </c>
      <c r="B4" s="4">
        <v>103103.36</v>
      </c>
      <c r="C4" s="4">
        <v>165.83</v>
      </c>
      <c r="D4" s="5">
        <v>621.74130133269011</v>
      </c>
      <c r="K4" s="4" t="s">
        <v>25</v>
      </c>
      <c r="L4" s="4">
        <f>COUNTIF(I31:I367,K4)</f>
        <v>300</v>
      </c>
      <c r="M4" s="6">
        <f>L4/SUM(L2:L4)</f>
        <v>0.89020771513353114</v>
      </c>
    </row>
    <row r="5" spans="1:15" x14ac:dyDescent="0.25">
      <c r="A5" s="3">
        <v>45795</v>
      </c>
      <c r="B5" s="4">
        <v>106452.63</v>
      </c>
      <c r="C5" s="4">
        <v>173.44</v>
      </c>
      <c r="D5" s="5">
        <v>613.77208256457573</v>
      </c>
    </row>
    <row r="6" spans="1:15" x14ac:dyDescent="0.25">
      <c r="A6" s="3">
        <v>45796</v>
      </c>
      <c r="B6" s="4">
        <v>105656.99</v>
      </c>
      <c r="C6" s="4">
        <v>166.76</v>
      </c>
      <c r="D6" s="5">
        <v>633.58713120652442</v>
      </c>
      <c r="K6" s="4" t="s">
        <v>29</v>
      </c>
    </row>
    <row r="7" spans="1:15" x14ac:dyDescent="0.25">
      <c r="A7" s="3">
        <v>45797</v>
      </c>
      <c r="B7" s="4">
        <v>106700</v>
      </c>
      <c r="C7" s="4">
        <v>168.65</v>
      </c>
      <c r="D7" s="5">
        <v>632.67121257041208</v>
      </c>
      <c r="K7" s="4" t="s">
        <v>30</v>
      </c>
    </row>
    <row r="8" spans="1:15" x14ac:dyDescent="0.25">
      <c r="A8" s="3">
        <v>45798</v>
      </c>
      <c r="B8" s="4">
        <v>109578.68</v>
      </c>
      <c r="C8" s="4">
        <v>173.99</v>
      </c>
      <c r="D8" s="5">
        <v>629.79872406460129</v>
      </c>
    </row>
    <row r="9" spans="1:15" x14ac:dyDescent="0.25">
      <c r="A9" s="3">
        <v>45799</v>
      </c>
      <c r="B9" s="4">
        <v>111699</v>
      </c>
      <c r="C9" s="4">
        <v>179.76</v>
      </c>
      <c r="D9" s="5">
        <v>621.37850467289718</v>
      </c>
    </row>
    <row r="10" spans="1:15" x14ac:dyDescent="0.25">
      <c r="A10" s="3">
        <v>45800</v>
      </c>
      <c r="B10" s="4">
        <v>107306.01</v>
      </c>
      <c r="C10" s="4">
        <v>174.69</v>
      </c>
      <c r="D10" s="5">
        <v>614.26532715095311</v>
      </c>
    </row>
    <row r="11" spans="1:15" x14ac:dyDescent="0.25">
      <c r="A11" s="3">
        <v>45801</v>
      </c>
      <c r="B11" s="4">
        <v>107839.94</v>
      </c>
      <c r="C11" s="4">
        <v>175.97</v>
      </c>
      <c r="D11" s="5">
        <v>612.83139171449682</v>
      </c>
    </row>
    <row r="12" spans="1:15" x14ac:dyDescent="0.25">
      <c r="A12" s="3">
        <v>45802</v>
      </c>
      <c r="B12" s="4">
        <v>108917.86</v>
      </c>
      <c r="C12" s="4">
        <v>175.76</v>
      </c>
      <c r="D12" s="5">
        <v>619.69651797906238</v>
      </c>
    </row>
    <row r="13" spans="1:15" x14ac:dyDescent="0.25">
      <c r="A13" s="3">
        <v>45803</v>
      </c>
      <c r="B13" s="4">
        <v>109435.45</v>
      </c>
      <c r="C13" s="4">
        <v>174.79</v>
      </c>
      <c r="D13" s="5">
        <v>626.09674466502656</v>
      </c>
    </row>
    <row r="14" spans="1:15" x14ac:dyDescent="0.25">
      <c r="A14" s="3">
        <v>45804</v>
      </c>
      <c r="B14" s="4">
        <v>108949.43</v>
      </c>
      <c r="C14" s="4">
        <v>176.75</v>
      </c>
      <c r="D14" s="5">
        <v>616.40413012729846</v>
      </c>
    </row>
    <row r="15" spans="1:15" x14ac:dyDescent="0.25">
      <c r="A15" s="3">
        <v>45805</v>
      </c>
      <c r="B15" s="4">
        <v>107747.33</v>
      </c>
      <c r="C15" s="4">
        <v>172.35</v>
      </c>
      <c r="D15" s="5">
        <v>625.16582535538157</v>
      </c>
    </row>
    <row r="16" spans="1:15" x14ac:dyDescent="0.25">
      <c r="A16" s="3">
        <v>45806</v>
      </c>
      <c r="B16" s="4">
        <v>105703.38</v>
      </c>
      <c r="C16" s="4">
        <v>166.32</v>
      </c>
      <c r="D16" s="5">
        <v>635.54220779220782</v>
      </c>
    </row>
    <row r="17" spans="1:15" x14ac:dyDescent="0.25">
      <c r="A17" s="3">
        <v>45807</v>
      </c>
      <c r="B17" s="4">
        <v>104071.8</v>
      </c>
      <c r="C17" s="4">
        <v>156</v>
      </c>
      <c r="D17" s="5">
        <v>667.12692307692305</v>
      </c>
    </row>
    <row r="18" spans="1:15" x14ac:dyDescent="0.25">
      <c r="A18" s="3">
        <v>45808</v>
      </c>
      <c r="B18" s="4">
        <v>104612.5</v>
      </c>
      <c r="C18" s="4">
        <v>156.62</v>
      </c>
      <c r="D18" s="5">
        <v>667.93832205337753</v>
      </c>
    </row>
    <row r="19" spans="1:15" x14ac:dyDescent="0.25">
      <c r="A19" s="3">
        <v>45809</v>
      </c>
      <c r="B19" s="4">
        <v>105571.94</v>
      </c>
      <c r="C19" s="4">
        <v>157.71</v>
      </c>
      <c r="D19" s="5">
        <v>669.40549109124345</v>
      </c>
    </row>
    <row r="20" spans="1:15" x14ac:dyDescent="0.25">
      <c r="A20" s="3">
        <v>45810</v>
      </c>
      <c r="B20" s="4">
        <v>105860.43</v>
      </c>
      <c r="C20" s="4">
        <v>157.05000000000001</v>
      </c>
      <c r="D20" s="5">
        <v>674.05558739255002</v>
      </c>
    </row>
    <row r="21" spans="1:15" x14ac:dyDescent="0.25">
      <c r="A21" s="3">
        <v>45811</v>
      </c>
      <c r="B21" s="4">
        <v>105317.93</v>
      </c>
      <c r="C21" s="4">
        <v>155.33000000000001</v>
      </c>
      <c r="D21" s="5">
        <v>678.02697482778592</v>
      </c>
    </row>
    <row r="22" spans="1:15" x14ac:dyDescent="0.25">
      <c r="A22" s="3">
        <v>45812</v>
      </c>
      <c r="B22" s="4">
        <v>104671.87</v>
      </c>
      <c r="C22" s="4">
        <v>153.43</v>
      </c>
      <c r="D22" s="5">
        <v>682.2125399204848</v>
      </c>
    </row>
    <row r="23" spans="1:15" x14ac:dyDescent="0.25">
      <c r="A23" s="3">
        <v>45813</v>
      </c>
      <c r="B23" s="4">
        <v>101498.5</v>
      </c>
      <c r="C23" s="4">
        <v>144.52000000000001</v>
      </c>
      <c r="D23" s="5">
        <v>702.31455853861053</v>
      </c>
    </row>
    <row r="24" spans="1:15" x14ac:dyDescent="0.25">
      <c r="A24" s="3">
        <v>45814</v>
      </c>
      <c r="B24" s="4">
        <v>104301.01</v>
      </c>
      <c r="C24" s="4">
        <v>147.79</v>
      </c>
      <c r="D24" s="5">
        <v>705.73793896745383</v>
      </c>
    </row>
    <row r="25" spans="1:15" x14ac:dyDescent="0.25">
      <c r="A25" s="3">
        <v>45815</v>
      </c>
      <c r="B25" s="4">
        <v>105500</v>
      </c>
      <c r="C25" s="4">
        <v>149.94</v>
      </c>
      <c r="D25" s="5">
        <v>703.6147792450314</v>
      </c>
    </row>
    <row r="26" spans="1:15" x14ac:dyDescent="0.25">
      <c r="A26" s="3">
        <v>45816</v>
      </c>
      <c r="B26" s="4">
        <v>105790.58</v>
      </c>
      <c r="C26" s="4">
        <v>152.5</v>
      </c>
      <c r="D26" s="5">
        <v>693.70872131147541</v>
      </c>
    </row>
    <row r="27" spans="1:15" x14ac:dyDescent="0.25">
      <c r="A27" s="3">
        <v>45817</v>
      </c>
      <c r="B27" s="4">
        <v>110101.01</v>
      </c>
      <c r="C27" s="4">
        <v>160.99</v>
      </c>
      <c r="D27" s="5">
        <v>683.89968321013725</v>
      </c>
    </row>
    <row r="28" spans="1:15" x14ac:dyDescent="0.25">
      <c r="A28" s="3">
        <v>45818</v>
      </c>
      <c r="B28" s="4">
        <v>110183.11</v>
      </c>
      <c r="C28" s="4">
        <v>164.92</v>
      </c>
      <c r="D28" s="5">
        <v>668.10035168566583</v>
      </c>
    </row>
    <row r="29" spans="1:15" x14ac:dyDescent="0.25">
      <c r="A29" s="3">
        <v>45819</v>
      </c>
      <c r="B29" s="4">
        <v>108625</v>
      </c>
      <c r="C29" s="4">
        <v>161.07</v>
      </c>
      <c r="D29" s="5">
        <v>674.39622524368292</v>
      </c>
    </row>
    <row r="30" spans="1:15" x14ac:dyDescent="0.25">
      <c r="A30" s="3">
        <v>45820</v>
      </c>
      <c r="B30" s="4">
        <v>105708.18</v>
      </c>
      <c r="C30" s="4">
        <v>152.63</v>
      </c>
      <c r="D30" s="5">
        <v>692.5779990827491</v>
      </c>
    </row>
    <row r="31" spans="1:15" x14ac:dyDescent="0.25">
      <c r="A31" s="3">
        <v>45821</v>
      </c>
      <c r="B31" s="4">
        <v>106043.25</v>
      </c>
      <c r="C31" s="4">
        <v>148.55000000000001</v>
      </c>
      <c r="D31" s="5">
        <v>713.85560417367878</v>
      </c>
      <c r="E31" s="5">
        <f>AVERAGE(D2:D31)</f>
        <v>653.72943357479858</v>
      </c>
      <c r="F31" s="5">
        <f>(D31-E31)</f>
        <v>60.126170598880208</v>
      </c>
      <c r="G31" s="4">
        <f>STDEV(D2:D31)</f>
        <v>34.190599692503518</v>
      </c>
      <c r="H31" s="5">
        <f>(F31/G31)</f>
        <v>1.7585585260168224</v>
      </c>
      <c r="I31" s="4" t="str">
        <f>IF(H31&gt;2, "BTC rich vs SOL", IF(H31&lt;-2,"BTC cheap vs SOL","Neutral"))</f>
        <v>Neutral</v>
      </c>
      <c r="N31" s="4">
        <v>2</v>
      </c>
      <c r="O31" s="4">
        <v>-2</v>
      </c>
    </row>
    <row r="32" spans="1:15" x14ac:dyDescent="0.25">
      <c r="A32" s="3">
        <v>45822</v>
      </c>
      <c r="B32" s="4">
        <v>105410.13</v>
      </c>
      <c r="C32" s="4">
        <v>144.78</v>
      </c>
      <c r="D32" s="5">
        <v>728.07107335267301</v>
      </c>
      <c r="E32" s="5">
        <f t="shared" ref="E32:E95" si="0">AVERAGE(D3:D32)</f>
        <v>657.53435648177776</v>
      </c>
      <c r="F32" s="5">
        <f t="shared" ref="F32:F95" si="1">(D32-E32)</f>
        <v>70.536716870895248</v>
      </c>
      <c r="G32" s="4">
        <f>STDEV(D3:D32)</f>
        <v>35.91597039621896</v>
      </c>
      <c r="H32" s="5">
        <f t="shared" ref="H32:H95" si="2">(F32/G32)</f>
        <v>1.9639373819709176</v>
      </c>
      <c r="I32" s="4" t="str">
        <f t="shared" ref="I32:I95" si="3">IF(H32&gt;2, "BTC rich vs SOL", IF(H32&lt;-2,"BTC cheap vs SOL","Neutral"))</f>
        <v>Neutral</v>
      </c>
      <c r="N32" s="4">
        <v>2</v>
      </c>
      <c r="O32" s="4">
        <v>-2</v>
      </c>
    </row>
    <row r="33" spans="1:15" x14ac:dyDescent="0.25">
      <c r="A33" s="3">
        <v>45823</v>
      </c>
      <c r="B33" s="4">
        <v>105540.14</v>
      </c>
      <c r="C33" s="4">
        <v>152.77000000000001</v>
      </c>
      <c r="D33" s="5">
        <v>690.84335929829149</v>
      </c>
      <c r="E33" s="5">
        <f t="shared" si="0"/>
        <v>659.9612411222646</v>
      </c>
      <c r="F33" s="5">
        <f t="shared" si="1"/>
        <v>30.882118176026893</v>
      </c>
      <c r="G33" s="4">
        <f t="shared" ref="G33:G96" si="4">STDEV(D4:D33)</f>
        <v>35.613583310849101</v>
      </c>
      <c r="H33" s="5">
        <f t="shared" si="2"/>
        <v>0.86714436754301993</v>
      </c>
      <c r="I33" s="4" t="str">
        <f t="shared" si="3"/>
        <v>Neutral</v>
      </c>
      <c r="N33" s="4">
        <v>2</v>
      </c>
      <c r="O33" s="4">
        <v>-2</v>
      </c>
    </row>
    <row r="34" spans="1:15" x14ac:dyDescent="0.25">
      <c r="A34" s="3">
        <v>45824</v>
      </c>
      <c r="B34" s="4">
        <v>106825.99</v>
      </c>
      <c r="C34" s="4">
        <v>150.47999999999999</v>
      </c>
      <c r="D34" s="5">
        <v>709.90158160552903</v>
      </c>
      <c r="E34" s="5">
        <f t="shared" si="0"/>
        <v>662.89991713135919</v>
      </c>
      <c r="F34" s="5">
        <f t="shared" si="1"/>
        <v>47.001664474169843</v>
      </c>
      <c r="G34" s="4">
        <f t="shared" si="4"/>
        <v>35.986439725980745</v>
      </c>
      <c r="H34" s="5">
        <f t="shared" si="2"/>
        <v>1.3060937628747018</v>
      </c>
      <c r="I34" s="4" t="str">
        <f t="shared" si="3"/>
        <v>Neutral</v>
      </c>
      <c r="N34" s="4">
        <v>2</v>
      </c>
      <c r="O34" s="4">
        <v>-2</v>
      </c>
    </row>
    <row r="35" spans="1:15" x14ac:dyDescent="0.25">
      <c r="A35" s="3">
        <v>45825</v>
      </c>
      <c r="B35" s="4">
        <v>104613.46</v>
      </c>
      <c r="C35" s="4">
        <v>147.88</v>
      </c>
      <c r="D35" s="5">
        <v>707.42128753043016</v>
      </c>
      <c r="E35" s="5">
        <f t="shared" si="0"/>
        <v>666.02155729688775</v>
      </c>
      <c r="F35" s="5">
        <f t="shared" si="1"/>
        <v>41.399730233542414</v>
      </c>
      <c r="G35" s="4">
        <f t="shared" si="4"/>
        <v>35.638007923397659</v>
      </c>
      <c r="H35" s="5">
        <f t="shared" si="2"/>
        <v>1.1616735234620668</v>
      </c>
      <c r="I35" s="4" t="str">
        <f t="shared" si="3"/>
        <v>Neutral</v>
      </c>
      <c r="N35" s="4">
        <v>2</v>
      </c>
      <c r="O35" s="4">
        <v>-2</v>
      </c>
    </row>
    <row r="36" spans="1:15" x14ac:dyDescent="0.25">
      <c r="A36" s="3">
        <v>45826</v>
      </c>
      <c r="B36" s="4">
        <v>104879.86</v>
      </c>
      <c r="C36" s="4">
        <v>146.25</v>
      </c>
      <c r="D36" s="5">
        <v>717.12724786324782</v>
      </c>
      <c r="E36" s="5">
        <f t="shared" si="0"/>
        <v>668.80622785211176</v>
      </c>
      <c r="F36" s="5">
        <f t="shared" si="1"/>
        <v>48.321020011136056</v>
      </c>
      <c r="G36" s="4">
        <f t="shared" si="4"/>
        <v>36.274398953225763</v>
      </c>
      <c r="H36" s="5">
        <f t="shared" si="2"/>
        <v>1.332097054824916</v>
      </c>
      <c r="I36" s="4" t="str">
        <f t="shared" si="3"/>
        <v>Neutral</v>
      </c>
      <c r="N36" s="4">
        <v>2</v>
      </c>
      <c r="O36" s="4">
        <v>-2</v>
      </c>
    </row>
    <row r="37" spans="1:15" x14ac:dyDescent="0.25">
      <c r="A37" s="3">
        <v>45827</v>
      </c>
      <c r="B37" s="4">
        <v>104720.21</v>
      </c>
      <c r="C37" s="4">
        <v>147.06</v>
      </c>
      <c r="D37" s="5">
        <v>712.09173126614985</v>
      </c>
      <c r="E37" s="5">
        <f t="shared" si="0"/>
        <v>671.45357847530317</v>
      </c>
      <c r="F37" s="5">
        <f t="shared" si="1"/>
        <v>40.638152790846675</v>
      </c>
      <c r="G37" s="4">
        <f t="shared" si="4"/>
        <v>36.443991075513189</v>
      </c>
      <c r="H37" s="5">
        <f t="shared" si="2"/>
        <v>1.115085137262904</v>
      </c>
      <c r="I37" s="4" t="str">
        <f t="shared" si="3"/>
        <v>Neutral</v>
      </c>
      <c r="N37" s="4">
        <v>2</v>
      </c>
      <c r="O37" s="4">
        <v>-2</v>
      </c>
    </row>
    <row r="38" spans="1:15" x14ac:dyDescent="0.25">
      <c r="A38" s="3">
        <v>45828</v>
      </c>
      <c r="B38" s="4">
        <v>103320.72</v>
      </c>
      <c r="C38" s="4">
        <v>140.19</v>
      </c>
      <c r="D38" s="5">
        <v>737.00492189171837</v>
      </c>
      <c r="E38" s="5">
        <f t="shared" si="0"/>
        <v>675.02711840287384</v>
      </c>
      <c r="F38" s="5">
        <f t="shared" si="1"/>
        <v>61.977803488844529</v>
      </c>
      <c r="G38" s="4">
        <f t="shared" si="4"/>
        <v>37.460561412638732</v>
      </c>
      <c r="H38" s="5">
        <f t="shared" si="2"/>
        <v>1.6544814373212779</v>
      </c>
      <c r="I38" s="4" t="str">
        <f t="shared" si="3"/>
        <v>Neutral</v>
      </c>
      <c r="N38" s="4">
        <v>2</v>
      </c>
      <c r="O38" s="4">
        <v>-2</v>
      </c>
    </row>
    <row r="39" spans="1:15" x14ac:dyDescent="0.25">
      <c r="A39" s="3">
        <v>45829</v>
      </c>
      <c r="B39" s="4">
        <v>101976.53</v>
      </c>
      <c r="C39" s="4">
        <v>135.44999999999999</v>
      </c>
      <c r="D39" s="5">
        <v>752.87212993724631</v>
      </c>
      <c r="E39" s="5">
        <f t="shared" si="0"/>
        <v>679.41023924501872</v>
      </c>
      <c r="F39" s="5">
        <f t="shared" si="1"/>
        <v>73.461890692227598</v>
      </c>
      <c r="G39" s="4">
        <f t="shared" si="4"/>
        <v>38.641069716079805</v>
      </c>
      <c r="H39" s="5">
        <f t="shared" si="2"/>
        <v>1.9011350159816542</v>
      </c>
      <c r="I39" s="4" t="str">
        <f t="shared" si="3"/>
        <v>Neutral</v>
      </c>
      <c r="N39" s="4">
        <v>2</v>
      </c>
      <c r="O39" s="4">
        <v>-2</v>
      </c>
    </row>
    <row r="40" spans="1:15" x14ac:dyDescent="0.25">
      <c r="A40" s="3">
        <v>45830</v>
      </c>
      <c r="B40" s="4">
        <v>100900.6</v>
      </c>
      <c r="C40" s="4">
        <v>131.56</v>
      </c>
      <c r="D40" s="5">
        <v>766.95500152021896</v>
      </c>
      <c r="E40" s="5">
        <f t="shared" si="0"/>
        <v>684.49989505732765</v>
      </c>
      <c r="F40" s="5">
        <f t="shared" si="1"/>
        <v>82.455106462891308</v>
      </c>
      <c r="G40" s="4">
        <f t="shared" si="4"/>
        <v>39.802929946186531</v>
      </c>
      <c r="H40" s="5">
        <f t="shared" si="2"/>
        <v>2.0715838400431932</v>
      </c>
      <c r="I40" s="4" t="str">
        <f t="shared" si="3"/>
        <v>BTC rich vs SOL</v>
      </c>
      <c r="N40" s="4">
        <v>2</v>
      </c>
      <c r="O40" s="4">
        <v>-2</v>
      </c>
    </row>
    <row r="41" spans="1:15" x14ac:dyDescent="0.25">
      <c r="A41" s="3">
        <v>45831</v>
      </c>
      <c r="B41" s="4">
        <v>105491.81</v>
      </c>
      <c r="C41" s="4">
        <v>144.5</v>
      </c>
      <c r="D41" s="5">
        <v>730.04712802768165</v>
      </c>
      <c r="E41" s="5">
        <f t="shared" si="0"/>
        <v>688.40708626776711</v>
      </c>
      <c r="F41" s="5">
        <f t="shared" si="1"/>
        <v>41.640041759914538</v>
      </c>
      <c r="G41" s="4">
        <f t="shared" si="4"/>
        <v>38.247882745970728</v>
      </c>
      <c r="H41" s="5">
        <f t="shared" si="2"/>
        <v>1.0886888049849286</v>
      </c>
      <c r="I41" s="4" t="str">
        <f t="shared" si="3"/>
        <v>Neutral</v>
      </c>
      <c r="N41" s="4">
        <v>2</v>
      </c>
      <c r="O41" s="4">
        <v>-2</v>
      </c>
    </row>
    <row r="42" spans="1:15" x14ac:dyDescent="0.25">
      <c r="A42" s="3">
        <v>45832</v>
      </c>
      <c r="B42" s="4">
        <v>105903.87</v>
      </c>
      <c r="C42" s="4">
        <v>145.78</v>
      </c>
      <c r="D42" s="5">
        <v>726.46364384689252</v>
      </c>
      <c r="E42" s="5">
        <f t="shared" si="0"/>
        <v>691.96599046336132</v>
      </c>
      <c r="F42" s="5">
        <f t="shared" si="1"/>
        <v>34.497653383531201</v>
      </c>
      <c r="G42" s="4">
        <f t="shared" si="4"/>
        <v>36.564209422438466</v>
      </c>
      <c r="H42" s="5">
        <f t="shared" si="2"/>
        <v>0.94348145162851316</v>
      </c>
      <c r="I42" s="4" t="str">
        <f t="shared" si="3"/>
        <v>Neutral</v>
      </c>
      <c r="N42" s="4">
        <v>2</v>
      </c>
      <c r="O42" s="4">
        <v>-2</v>
      </c>
    </row>
    <row r="43" spans="1:15" x14ac:dyDescent="0.25">
      <c r="A43" s="3">
        <v>45833</v>
      </c>
      <c r="B43" s="4">
        <v>107179.03</v>
      </c>
      <c r="C43" s="4">
        <v>143.41999999999999</v>
      </c>
      <c r="D43" s="5">
        <v>747.30881327569386</v>
      </c>
      <c r="E43" s="5">
        <f t="shared" si="0"/>
        <v>696.0063927503835</v>
      </c>
      <c r="F43" s="5">
        <f t="shared" si="1"/>
        <v>51.302420525310367</v>
      </c>
      <c r="G43" s="4">
        <f t="shared" si="4"/>
        <v>35.721926949953556</v>
      </c>
      <c r="H43" s="5">
        <f t="shared" si="2"/>
        <v>1.4361605015649097</v>
      </c>
      <c r="I43" s="4" t="str">
        <f t="shared" si="3"/>
        <v>Neutral</v>
      </c>
      <c r="N43" s="4">
        <v>2</v>
      </c>
      <c r="O43" s="4">
        <v>-2</v>
      </c>
    </row>
    <row r="44" spans="1:15" x14ac:dyDescent="0.25">
      <c r="A44" s="3">
        <v>45834</v>
      </c>
      <c r="B44" s="4">
        <v>107013.01</v>
      </c>
      <c r="C44" s="4">
        <v>138.91</v>
      </c>
      <c r="D44" s="5">
        <v>770.37657476063634</v>
      </c>
      <c r="E44" s="5">
        <f t="shared" si="0"/>
        <v>701.13880757149491</v>
      </c>
      <c r="F44" s="5">
        <f t="shared" si="1"/>
        <v>69.237767189141437</v>
      </c>
      <c r="G44" s="4">
        <f t="shared" si="4"/>
        <v>34.943194880953875</v>
      </c>
      <c r="H44" s="5">
        <f t="shared" si="2"/>
        <v>1.9814377999786204</v>
      </c>
      <c r="I44" s="4" t="str">
        <f t="shared" si="3"/>
        <v>Neutral</v>
      </c>
      <c r="N44" s="4">
        <v>2</v>
      </c>
      <c r="O44" s="4">
        <v>-2</v>
      </c>
    </row>
    <row r="45" spans="1:15" x14ac:dyDescent="0.25">
      <c r="A45" s="3">
        <v>45835</v>
      </c>
      <c r="B45" s="4">
        <v>107000.01</v>
      </c>
      <c r="C45" s="4">
        <v>142.19999999999999</v>
      </c>
      <c r="D45" s="5">
        <v>752.46139240506329</v>
      </c>
      <c r="E45" s="5">
        <f t="shared" si="0"/>
        <v>705.38199313981761</v>
      </c>
      <c r="F45" s="5">
        <f t="shared" si="1"/>
        <v>47.079399265245684</v>
      </c>
      <c r="G45" s="4">
        <f t="shared" si="4"/>
        <v>33.078670156489785</v>
      </c>
      <c r="H45" s="5">
        <f t="shared" si="2"/>
        <v>1.4232555009775403</v>
      </c>
      <c r="I45" s="4" t="str">
        <f t="shared" si="3"/>
        <v>Neutral</v>
      </c>
      <c r="N45" s="4">
        <v>2</v>
      </c>
      <c r="O45" s="4">
        <v>-2</v>
      </c>
    </row>
    <row r="46" spans="1:15" x14ac:dyDescent="0.25">
      <c r="A46" s="3">
        <v>45836</v>
      </c>
      <c r="B46" s="4">
        <v>107325.32</v>
      </c>
      <c r="C46" s="4">
        <v>150.69999999999999</v>
      </c>
      <c r="D46" s="5">
        <v>712.17863304578646</v>
      </c>
      <c r="E46" s="5">
        <f t="shared" si="0"/>
        <v>707.93654064827035</v>
      </c>
      <c r="F46" s="5">
        <f t="shared" si="1"/>
        <v>4.2420923975161031</v>
      </c>
      <c r="G46" s="4">
        <f t="shared" si="4"/>
        <v>30.345471438407259</v>
      </c>
      <c r="H46" s="5">
        <f t="shared" si="2"/>
        <v>0.13979326062296818</v>
      </c>
      <c r="I46" s="4" t="str">
        <f t="shared" si="3"/>
        <v>Neutral</v>
      </c>
      <c r="N46" s="4">
        <v>2</v>
      </c>
      <c r="O46" s="4">
        <v>-2</v>
      </c>
    </row>
    <row r="47" spans="1:15" x14ac:dyDescent="0.25">
      <c r="A47" s="3">
        <v>45837</v>
      </c>
      <c r="B47" s="4">
        <v>108296.9</v>
      </c>
      <c r="C47" s="4">
        <v>153.26</v>
      </c>
      <c r="D47" s="5">
        <v>706.62208012527731</v>
      </c>
      <c r="E47" s="5">
        <f t="shared" si="0"/>
        <v>709.25304588321546</v>
      </c>
      <c r="F47" s="5">
        <f t="shared" si="1"/>
        <v>-2.6309657579381565</v>
      </c>
      <c r="G47" s="4">
        <f t="shared" si="4"/>
        <v>29.354485533345478</v>
      </c>
      <c r="H47" s="5">
        <f t="shared" si="2"/>
        <v>-8.9627384371955304E-2</v>
      </c>
      <c r="I47" s="4" t="str">
        <f t="shared" si="3"/>
        <v>Neutral</v>
      </c>
      <c r="N47" s="4">
        <v>2</v>
      </c>
      <c r="O47" s="4">
        <v>-2</v>
      </c>
    </row>
    <row r="48" spans="1:15" x14ac:dyDescent="0.25">
      <c r="A48" s="3">
        <v>45838</v>
      </c>
      <c r="B48" s="4">
        <v>107214.96</v>
      </c>
      <c r="C48" s="4">
        <v>154.81</v>
      </c>
      <c r="D48" s="5">
        <v>692.55836186292879</v>
      </c>
      <c r="E48" s="5">
        <f t="shared" si="0"/>
        <v>710.07371387686715</v>
      </c>
      <c r="F48" s="5">
        <f t="shared" si="1"/>
        <v>-17.515352013938355</v>
      </c>
      <c r="G48" s="4">
        <f t="shared" si="4"/>
        <v>28.491069379732743</v>
      </c>
      <c r="H48" s="5">
        <f t="shared" si="2"/>
        <v>-0.61476639505844533</v>
      </c>
      <c r="I48" s="4" t="str">
        <f t="shared" si="3"/>
        <v>Neutral</v>
      </c>
      <c r="N48" s="4">
        <v>2</v>
      </c>
      <c r="O48" s="4">
        <v>-2</v>
      </c>
    </row>
    <row r="49" spans="1:15" x14ac:dyDescent="0.25">
      <c r="A49" s="3">
        <v>45839</v>
      </c>
      <c r="B49" s="4">
        <v>105668.01</v>
      </c>
      <c r="C49" s="4">
        <v>146.91999999999999</v>
      </c>
      <c r="D49" s="5">
        <v>719.22141301388513</v>
      </c>
      <c r="E49" s="5">
        <f t="shared" si="0"/>
        <v>711.73424460762203</v>
      </c>
      <c r="F49" s="5">
        <f t="shared" si="1"/>
        <v>7.4871684062630948</v>
      </c>
      <c r="G49" s="4">
        <f t="shared" si="4"/>
        <v>27.472585196097633</v>
      </c>
      <c r="H49" s="5">
        <f t="shared" si="2"/>
        <v>0.27253235735989695</v>
      </c>
      <c r="I49" s="4" t="str">
        <f t="shared" si="3"/>
        <v>Neutral</v>
      </c>
      <c r="N49" s="4">
        <v>2</v>
      </c>
      <c r="O49" s="4">
        <v>-2</v>
      </c>
    </row>
    <row r="50" spans="1:15" x14ac:dyDescent="0.25">
      <c r="A50" s="3">
        <v>45840</v>
      </c>
      <c r="B50" s="4">
        <v>108702.81</v>
      </c>
      <c r="C50" s="4">
        <v>152.15</v>
      </c>
      <c r="D50" s="5">
        <v>714.44502136049948</v>
      </c>
      <c r="E50" s="5">
        <f t="shared" si="0"/>
        <v>713.08055907322023</v>
      </c>
      <c r="F50" s="5">
        <f t="shared" si="1"/>
        <v>1.3644622872792525</v>
      </c>
      <c r="G50" s="4">
        <f t="shared" si="4"/>
        <v>26.53614022631772</v>
      </c>
      <c r="H50" s="5">
        <f t="shared" si="2"/>
        <v>5.1419018577766679E-2</v>
      </c>
      <c r="I50" s="4" t="str">
        <f t="shared" si="3"/>
        <v>Neutral</v>
      </c>
      <c r="N50" s="4">
        <v>2</v>
      </c>
      <c r="O50" s="4">
        <v>-2</v>
      </c>
    </row>
    <row r="51" spans="1:15" x14ac:dyDescent="0.25">
      <c r="A51" s="3">
        <v>45841</v>
      </c>
      <c r="B51" s="4">
        <v>109628.73</v>
      </c>
      <c r="C51" s="4">
        <v>152.66</v>
      </c>
      <c r="D51" s="5">
        <v>718.12347700772955</v>
      </c>
      <c r="E51" s="5">
        <f t="shared" si="0"/>
        <v>714.41710914588509</v>
      </c>
      <c r="F51" s="5">
        <f t="shared" si="1"/>
        <v>3.7063678618444555</v>
      </c>
      <c r="G51" s="4">
        <f t="shared" si="4"/>
        <v>25.706514453541065</v>
      </c>
      <c r="H51" s="5">
        <f t="shared" si="2"/>
        <v>0.14418010145027282</v>
      </c>
      <c r="I51" s="4" t="str">
        <f t="shared" si="3"/>
        <v>Neutral</v>
      </c>
      <c r="N51" s="4">
        <v>2</v>
      </c>
      <c r="O51" s="4">
        <v>-2</v>
      </c>
    </row>
    <row r="52" spans="1:15" x14ac:dyDescent="0.25">
      <c r="A52" s="3">
        <v>45842</v>
      </c>
      <c r="B52" s="4">
        <v>107947.38</v>
      </c>
      <c r="C52" s="4">
        <v>147.49</v>
      </c>
      <c r="D52" s="5">
        <v>731.89626415350187</v>
      </c>
      <c r="E52" s="5">
        <f t="shared" si="0"/>
        <v>716.07323328698556</v>
      </c>
      <c r="F52" s="5">
        <f t="shared" si="1"/>
        <v>15.823030866516319</v>
      </c>
      <c r="G52" s="4">
        <f t="shared" si="4"/>
        <v>25.154711521946421</v>
      </c>
      <c r="H52" s="5">
        <f t="shared" si="2"/>
        <v>0.62902851629649559</v>
      </c>
      <c r="I52" s="4" t="str">
        <f t="shared" si="3"/>
        <v>Neutral</v>
      </c>
      <c r="N52" s="4">
        <v>2</v>
      </c>
      <c r="O52" s="4">
        <v>-2</v>
      </c>
    </row>
    <row r="53" spans="1:15" x14ac:dyDescent="0.25">
      <c r="A53" s="3">
        <v>45843</v>
      </c>
      <c r="B53" s="4">
        <v>108260</v>
      </c>
      <c r="C53" s="4">
        <v>147.52000000000001</v>
      </c>
      <c r="D53" s="5">
        <v>733.86659436008676</v>
      </c>
      <c r="E53" s="5">
        <f t="shared" si="0"/>
        <v>717.12496781436812</v>
      </c>
      <c r="F53" s="5">
        <f t="shared" si="1"/>
        <v>16.741626545718646</v>
      </c>
      <c r="G53" s="4">
        <f t="shared" si="4"/>
        <v>25.21913890267599</v>
      </c>
      <c r="H53" s="5">
        <f t="shared" si="2"/>
        <v>0.6638460817527041</v>
      </c>
      <c r="I53" s="4" t="str">
        <f t="shared" si="3"/>
        <v>Neutral</v>
      </c>
      <c r="N53" s="4">
        <v>2</v>
      </c>
      <c r="O53" s="4">
        <v>-2</v>
      </c>
    </row>
    <row r="54" spans="1:15" x14ac:dyDescent="0.25">
      <c r="A54" s="3">
        <v>45844</v>
      </c>
      <c r="B54" s="4">
        <v>109216.4</v>
      </c>
      <c r="C54" s="4">
        <v>151.82</v>
      </c>
      <c r="D54" s="5">
        <v>719.38084573837443</v>
      </c>
      <c r="E54" s="5">
        <f t="shared" si="0"/>
        <v>717.57973137339877</v>
      </c>
      <c r="F54" s="5">
        <f t="shared" si="1"/>
        <v>1.8011143649756605</v>
      </c>
      <c r="G54" s="4">
        <f t="shared" si="4"/>
        <v>25.129570646324908</v>
      </c>
      <c r="H54" s="5">
        <f t="shared" si="2"/>
        <v>7.1673105375521642E-2</v>
      </c>
      <c r="I54" s="4" t="str">
        <f t="shared" si="3"/>
        <v>Neutral</v>
      </c>
      <c r="N54" s="4">
        <v>2</v>
      </c>
      <c r="O54" s="4">
        <v>-2</v>
      </c>
    </row>
    <row r="55" spans="1:15" x14ac:dyDescent="0.25">
      <c r="A55" s="3">
        <v>45845</v>
      </c>
      <c r="B55" s="4">
        <v>108216.12</v>
      </c>
      <c r="C55" s="4">
        <v>148.97999999999999</v>
      </c>
      <c r="D55" s="5">
        <v>726.38018525976645</v>
      </c>
      <c r="E55" s="5">
        <f t="shared" si="0"/>
        <v>718.33857824055667</v>
      </c>
      <c r="F55" s="5">
        <f t="shared" si="1"/>
        <v>8.0416070192097777</v>
      </c>
      <c r="G55" s="4">
        <f t="shared" si="4"/>
        <v>25.03688103634525</v>
      </c>
      <c r="H55" s="5">
        <f t="shared" si="2"/>
        <v>0.32119044730595758</v>
      </c>
      <c r="I55" s="4" t="str">
        <f t="shared" si="3"/>
        <v>Neutral</v>
      </c>
      <c r="N55" s="4">
        <v>2</v>
      </c>
      <c r="O55" s="4">
        <v>-2</v>
      </c>
    </row>
    <row r="56" spans="1:15" x14ac:dyDescent="0.25">
      <c r="A56" s="3">
        <v>45846</v>
      </c>
      <c r="B56" s="4">
        <v>108988.53</v>
      </c>
      <c r="C56" s="4">
        <v>151.81</v>
      </c>
      <c r="D56" s="5">
        <v>717.92721164613658</v>
      </c>
      <c r="E56" s="5">
        <f t="shared" si="0"/>
        <v>719.14586125171195</v>
      </c>
      <c r="F56" s="5">
        <f t="shared" si="1"/>
        <v>-1.2186496055753651</v>
      </c>
      <c r="G56" s="4">
        <f t="shared" si="4"/>
        <v>24.602008008276705</v>
      </c>
      <c r="H56" s="5">
        <f t="shared" si="2"/>
        <v>-4.9534558527311354E-2</v>
      </c>
      <c r="I56" s="4" t="str">
        <f t="shared" si="3"/>
        <v>Neutral</v>
      </c>
      <c r="N56" s="4">
        <v>2</v>
      </c>
      <c r="O56" s="4">
        <v>-2</v>
      </c>
    </row>
    <row r="57" spans="1:15" x14ac:dyDescent="0.25">
      <c r="A57" s="3">
        <v>45847</v>
      </c>
      <c r="B57" s="4">
        <v>111475.16</v>
      </c>
      <c r="C57" s="4">
        <v>157.02000000000001</v>
      </c>
      <c r="D57" s="5">
        <v>709.94242771621452</v>
      </c>
      <c r="E57" s="5">
        <f t="shared" si="0"/>
        <v>720.01395273524781</v>
      </c>
      <c r="F57" s="5">
        <f t="shared" si="1"/>
        <v>-10.071525019033288</v>
      </c>
      <c r="G57" s="4">
        <f t="shared" si="4"/>
        <v>23.760520559671313</v>
      </c>
      <c r="H57" s="5">
        <f t="shared" si="2"/>
        <v>-0.42387644638256239</v>
      </c>
      <c r="I57" s="4" t="str">
        <f t="shared" si="3"/>
        <v>Neutral</v>
      </c>
      <c r="N57" s="4">
        <v>2</v>
      </c>
      <c r="O57" s="4">
        <v>-2</v>
      </c>
    </row>
    <row r="58" spans="1:15" x14ac:dyDescent="0.25">
      <c r="A58" s="3">
        <v>45848</v>
      </c>
      <c r="B58" s="4">
        <v>116038</v>
      </c>
      <c r="C58" s="4">
        <v>164.07</v>
      </c>
      <c r="D58" s="5">
        <v>707.24690680806975</v>
      </c>
      <c r="E58" s="5">
        <f t="shared" si="0"/>
        <v>721.31883790599466</v>
      </c>
      <c r="F58" s="5">
        <f t="shared" si="1"/>
        <v>-14.071931097924903</v>
      </c>
      <c r="G58" s="4">
        <f t="shared" si="4"/>
        <v>21.805726477580649</v>
      </c>
      <c r="H58" s="5">
        <f t="shared" si="2"/>
        <v>-0.6453319091383094</v>
      </c>
      <c r="I58" s="4" t="str">
        <f t="shared" si="3"/>
        <v>Neutral</v>
      </c>
      <c r="N58" s="4">
        <v>2</v>
      </c>
      <c r="O58" s="4">
        <v>-2</v>
      </c>
    </row>
    <row r="59" spans="1:15" x14ac:dyDescent="0.25">
      <c r="A59" s="3">
        <v>45849</v>
      </c>
      <c r="B59" s="4">
        <v>117426.49</v>
      </c>
      <c r="C59" s="4">
        <v>162.87</v>
      </c>
      <c r="D59" s="5">
        <v>720.98293117210051</v>
      </c>
      <c r="E59" s="5">
        <f t="shared" si="0"/>
        <v>722.87172810360846</v>
      </c>
      <c r="F59" s="5">
        <f t="shared" si="1"/>
        <v>-1.8887969315079545</v>
      </c>
      <c r="G59" s="4">
        <f t="shared" si="4"/>
        <v>19.926795964174996</v>
      </c>
      <c r="H59" s="5">
        <f t="shared" si="2"/>
        <v>-9.4786785336874596E-2</v>
      </c>
      <c r="I59" s="4" t="str">
        <f t="shared" si="3"/>
        <v>Neutral</v>
      </c>
      <c r="N59" s="4">
        <v>2</v>
      </c>
      <c r="O59" s="4">
        <v>-2</v>
      </c>
    </row>
    <row r="60" spans="1:15" x14ac:dyDescent="0.25">
      <c r="A60" s="3">
        <v>45850</v>
      </c>
      <c r="B60" s="4">
        <v>117393.39</v>
      </c>
      <c r="C60" s="4">
        <v>160.66</v>
      </c>
      <c r="D60" s="5">
        <v>730.69457238889584</v>
      </c>
      <c r="E60" s="5">
        <f t="shared" si="0"/>
        <v>724.14228054714681</v>
      </c>
      <c r="F60" s="5">
        <f t="shared" si="1"/>
        <v>6.5522918417490246</v>
      </c>
      <c r="G60" s="4">
        <f t="shared" si="4"/>
        <v>19.127788499807007</v>
      </c>
      <c r="H60" s="5">
        <f t="shared" si="2"/>
        <v>0.34255354934602789</v>
      </c>
      <c r="I60" s="4" t="str">
        <f t="shared" si="3"/>
        <v>Neutral</v>
      </c>
      <c r="N60" s="4">
        <v>2</v>
      </c>
      <c r="O60" s="4">
        <v>-2</v>
      </c>
    </row>
    <row r="61" spans="1:15" x14ac:dyDescent="0.25">
      <c r="A61" s="3">
        <v>45851</v>
      </c>
      <c r="B61" s="4">
        <v>119098.77</v>
      </c>
      <c r="C61" s="4">
        <v>161.41999999999999</v>
      </c>
      <c r="D61" s="5">
        <v>737.81916738941902</v>
      </c>
      <c r="E61" s="5">
        <f t="shared" si="0"/>
        <v>724.94106598767144</v>
      </c>
      <c r="F61" s="5">
        <f t="shared" si="1"/>
        <v>12.878101401747585</v>
      </c>
      <c r="G61" s="4">
        <f t="shared" si="4"/>
        <v>19.183682246397051</v>
      </c>
      <c r="H61" s="5">
        <f t="shared" si="2"/>
        <v>0.67130497869699979</v>
      </c>
      <c r="I61" s="4" t="str">
        <f t="shared" si="3"/>
        <v>Neutral</v>
      </c>
      <c r="N61" s="4">
        <v>2</v>
      </c>
      <c r="O61" s="4">
        <v>-2</v>
      </c>
    </row>
    <row r="62" spans="1:15" x14ac:dyDescent="0.25">
      <c r="A62" s="3">
        <v>45852</v>
      </c>
      <c r="B62" s="4">
        <v>119878.79</v>
      </c>
      <c r="C62" s="4">
        <v>162.33000000000001</v>
      </c>
      <c r="D62" s="5">
        <v>738.48820304318349</v>
      </c>
      <c r="E62" s="5">
        <f t="shared" si="0"/>
        <v>725.28830364402177</v>
      </c>
      <c r="F62" s="5">
        <f t="shared" si="1"/>
        <v>13.199899399161723</v>
      </c>
      <c r="G62" s="4">
        <f t="shared" si="4"/>
        <v>19.335965263963942</v>
      </c>
      <c r="H62" s="5">
        <f t="shared" si="2"/>
        <v>0.68266048366161036</v>
      </c>
      <c r="I62" s="4" t="str">
        <f t="shared" si="3"/>
        <v>Neutral</v>
      </c>
      <c r="N62" s="4">
        <v>2</v>
      </c>
      <c r="O62" s="4">
        <v>-2</v>
      </c>
    </row>
    <row r="63" spans="1:15" x14ac:dyDescent="0.25">
      <c r="A63" s="3">
        <v>45853</v>
      </c>
      <c r="B63" s="4">
        <v>117680.43</v>
      </c>
      <c r="C63" s="4">
        <v>164.1</v>
      </c>
      <c r="D63" s="5">
        <v>717.12632541133451</v>
      </c>
      <c r="E63" s="5">
        <f t="shared" si="0"/>
        <v>726.16440251445647</v>
      </c>
      <c r="F63" s="5">
        <f t="shared" si="1"/>
        <v>-9.0380771031219638</v>
      </c>
      <c r="G63" s="4">
        <f t="shared" si="4"/>
        <v>18.288534422866178</v>
      </c>
      <c r="H63" s="5">
        <f t="shared" si="2"/>
        <v>-0.4941936239473429</v>
      </c>
      <c r="I63" s="4" t="str">
        <f t="shared" si="3"/>
        <v>Neutral</v>
      </c>
      <c r="N63" s="4">
        <v>2</v>
      </c>
      <c r="O63" s="4">
        <v>-2</v>
      </c>
    </row>
    <row r="64" spans="1:15" x14ac:dyDescent="0.25">
      <c r="A64" s="3">
        <v>45854</v>
      </c>
      <c r="B64" s="4">
        <v>118585.41</v>
      </c>
      <c r="C64" s="4">
        <v>173.52</v>
      </c>
      <c r="D64" s="5">
        <v>683.41061549100971</v>
      </c>
      <c r="E64" s="5">
        <f t="shared" si="0"/>
        <v>725.2813703106392</v>
      </c>
      <c r="F64" s="5">
        <f t="shared" si="1"/>
        <v>-41.870754819629497</v>
      </c>
      <c r="G64" s="4">
        <f t="shared" si="4"/>
        <v>19.686910436488716</v>
      </c>
      <c r="H64" s="5">
        <f t="shared" si="2"/>
        <v>-2.1268321890683324</v>
      </c>
      <c r="I64" s="4" t="str">
        <f t="shared" si="3"/>
        <v>BTC cheap vs SOL</v>
      </c>
      <c r="N64" s="4">
        <v>2</v>
      </c>
      <c r="O64" s="4">
        <v>-2</v>
      </c>
    </row>
    <row r="65" spans="1:15" x14ac:dyDescent="0.25">
      <c r="A65" s="3">
        <v>45855</v>
      </c>
      <c r="B65" s="4">
        <v>119197.83</v>
      </c>
      <c r="C65" s="4">
        <v>175.56</v>
      </c>
      <c r="D65" s="5">
        <v>678.95779220779218</v>
      </c>
      <c r="E65" s="5">
        <f t="shared" si="0"/>
        <v>724.332587133218</v>
      </c>
      <c r="F65" s="5">
        <f t="shared" si="1"/>
        <v>-45.374794925425817</v>
      </c>
      <c r="G65" s="4">
        <f t="shared" si="4"/>
        <v>21.204703836728306</v>
      </c>
      <c r="H65" s="5">
        <f t="shared" si="2"/>
        <v>-2.1398457283252834</v>
      </c>
      <c r="I65" s="4" t="str">
        <f t="shared" si="3"/>
        <v>BTC cheap vs SOL</v>
      </c>
      <c r="N65" s="4">
        <v>2</v>
      </c>
      <c r="O65" s="4">
        <v>-2</v>
      </c>
    </row>
    <row r="66" spans="1:15" x14ac:dyDescent="0.25">
      <c r="A66" s="3">
        <v>45856</v>
      </c>
      <c r="B66" s="4">
        <v>117885.51</v>
      </c>
      <c r="C66" s="4">
        <v>177.13</v>
      </c>
      <c r="D66" s="5">
        <v>665.53102241291708</v>
      </c>
      <c r="E66" s="5">
        <f t="shared" si="0"/>
        <v>722.61271295154029</v>
      </c>
      <c r="F66" s="5">
        <f t="shared" si="1"/>
        <v>-57.081690538623207</v>
      </c>
      <c r="G66" s="4">
        <f t="shared" si="4"/>
        <v>23.74905628820806</v>
      </c>
      <c r="H66" s="5">
        <f t="shared" si="2"/>
        <v>-2.4035351066545556</v>
      </c>
      <c r="I66" s="4" t="str">
        <f t="shared" si="3"/>
        <v>BTC cheap vs SOL</v>
      </c>
      <c r="N66" s="4">
        <v>2</v>
      </c>
      <c r="O66" s="4">
        <v>-2</v>
      </c>
    </row>
    <row r="67" spans="1:15" x14ac:dyDescent="0.25">
      <c r="A67" s="3">
        <v>45857</v>
      </c>
      <c r="B67" s="4">
        <v>117796</v>
      </c>
      <c r="C67" s="4">
        <v>176.7</v>
      </c>
      <c r="D67" s="5">
        <v>666.64402942840979</v>
      </c>
      <c r="E67" s="5">
        <f t="shared" si="0"/>
        <v>721.09778955694901</v>
      </c>
      <c r="F67" s="5">
        <f t="shared" si="1"/>
        <v>-54.453760128539216</v>
      </c>
      <c r="G67" s="4">
        <f t="shared" si="4"/>
        <v>25.803946006561961</v>
      </c>
      <c r="H67" s="5">
        <f t="shared" si="2"/>
        <v>-2.1102880975914142</v>
      </c>
      <c r="I67" s="4" t="str">
        <f t="shared" si="3"/>
        <v>BTC cheap vs SOL</v>
      </c>
      <c r="N67" s="4">
        <v>2</v>
      </c>
      <c r="O67" s="4">
        <v>-2</v>
      </c>
    </row>
    <row r="68" spans="1:15" x14ac:dyDescent="0.25">
      <c r="A68" s="3">
        <v>45858</v>
      </c>
      <c r="B68" s="4">
        <v>117232.91</v>
      </c>
      <c r="C68" s="4">
        <v>181.46</v>
      </c>
      <c r="D68" s="5">
        <v>646.05373084977407</v>
      </c>
      <c r="E68" s="5">
        <f t="shared" si="0"/>
        <v>718.06608318888414</v>
      </c>
      <c r="F68" s="5">
        <f t="shared" si="1"/>
        <v>-72.012352339110066</v>
      </c>
      <c r="G68" s="4">
        <f t="shared" si="4"/>
        <v>29.013850342280051</v>
      </c>
      <c r="H68" s="5">
        <f t="shared" si="2"/>
        <v>-2.4819991655561489</v>
      </c>
      <c r="I68" s="4" t="str">
        <f t="shared" si="3"/>
        <v>BTC cheap vs SOL</v>
      </c>
      <c r="N68" s="4">
        <v>2</v>
      </c>
      <c r="O68" s="4">
        <v>-2</v>
      </c>
    </row>
    <row r="69" spans="1:15" x14ac:dyDescent="0.25">
      <c r="A69" s="3">
        <v>45859</v>
      </c>
      <c r="B69" s="4">
        <v>117480.91</v>
      </c>
      <c r="C69" s="4">
        <v>195.73</v>
      </c>
      <c r="D69" s="5">
        <v>600.21923057272784</v>
      </c>
      <c r="E69" s="5">
        <f t="shared" si="0"/>
        <v>712.97765321006705</v>
      </c>
      <c r="F69" s="5">
        <f t="shared" si="1"/>
        <v>-112.75842263733921</v>
      </c>
      <c r="G69" s="4">
        <f t="shared" si="4"/>
        <v>35.385540603690593</v>
      </c>
      <c r="H69" s="5">
        <f t="shared" si="2"/>
        <v>-3.1865677537671666</v>
      </c>
      <c r="I69" s="4" t="str">
        <f t="shared" si="3"/>
        <v>BTC cheap vs SOL</v>
      </c>
      <c r="N69" s="4">
        <v>2</v>
      </c>
      <c r="O69" s="4">
        <v>-2</v>
      </c>
    </row>
    <row r="70" spans="1:15" x14ac:dyDescent="0.25">
      <c r="A70" s="3">
        <v>45860</v>
      </c>
      <c r="B70" s="4">
        <v>119999.61</v>
      </c>
      <c r="C70" s="4">
        <v>205.85</v>
      </c>
      <c r="D70" s="5">
        <v>582.94685450570807</v>
      </c>
      <c r="E70" s="5">
        <f t="shared" si="0"/>
        <v>706.8440483095834</v>
      </c>
      <c r="F70" s="5">
        <f t="shared" si="1"/>
        <v>-123.89719380387533</v>
      </c>
      <c r="G70" s="4">
        <f t="shared" si="4"/>
        <v>41.179916112309478</v>
      </c>
      <c r="H70" s="5">
        <f t="shared" si="2"/>
        <v>-3.0086800921588095</v>
      </c>
      <c r="I70" s="4" t="str">
        <f t="shared" si="3"/>
        <v>BTC cheap vs SOL</v>
      </c>
      <c r="N70" s="4">
        <v>2</v>
      </c>
      <c r="O70" s="4">
        <v>-2</v>
      </c>
    </row>
    <row r="71" spans="1:15" x14ac:dyDescent="0.25">
      <c r="A71" s="3">
        <v>45861</v>
      </c>
      <c r="B71" s="4">
        <v>118620.89</v>
      </c>
      <c r="C71" s="4">
        <v>189.16</v>
      </c>
      <c r="D71" s="5">
        <v>627.09288433072527</v>
      </c>
      <c r="E71" s="5">
        <f t="shared" si="0"/>
        <v>703.4122401863516</v>
      </c>
      <c r="F71" s="5">
        <f t="shared" si="1"/>
        <v>-76.319355855626327</v>
      </c>
      <c r="G71" s="4">
        <f t="shared" si="4"/>
        <v>43.409170045536328</v>
      </c>
      <c r="H71" s="5">
        <f t="shared" si="2"/>
        <v>-1.7581390239796599</v>
      </c>
      <c r="I71" s="4" t="str">
        <f t="shared" si="3"/>
        <v>Neutral</v>
      </c>
      <c r="N71" s="4">
        <v>2</v>
      </c>
      <c r="O71" s="4">
        <v>-2</v>
      </c>
    </row>
    <row r="72" spans="1:15" x14ac:dyDescent="0.25">
      <c r="A72" s="3">
        <v>45862</v>
      </c>
      <c r="B72" s="4">
        <v>118322.03</v>
      </c>
      <c r="C72" s="4">
        <v>182.79</v>
      </c>
      <c r="D72" s="5">
        <v>647.31128617539252</v>
      </c>
      <c r="E72" s="5">
        <f t="shared" si="0"/>
        <v>700.77382826396831</v>
      </c>
      <c r="F72" s="5">
        <f t="shared" si="1"/>
        <v>-53.462542088575788</v>
      </c>
      <c r="G72" s="4">
        <f t="shared" si="4"/>
        <v>44.354931531314236</v>
      </c>
      <c r="H72" s="5">
        <f t="shared" si="2"/>
        <v>-1.2053347901310962</v>
      </c>
      <c r="I72" s="4" t="str">
        <f t="shared" si="3"/>
        <v>Neutral</v>
      </c>
      <c r="N72" s="4">
        <v>2</v>
      </c>
      <c r="O72" s="4">
        <v>-2</v>
      </c>
    </row>
    <row r="73" spans="1:15" x14ac:dyDescent="0.25">
      <c r="A73" s="3">
        <v>45863</v>
      </c>
      <c r="B73" s="4">
        <v>117577.4</v>
      </c>
      <c r="C73" s="4">
        <v>186.58</v>
      </c>
      <c r="D73" s="5">
        <v>630.17150820023573</v>
      </c>
      <c r="E73" s="5">
        <f t="shared" si="0"/>
        <v>696.8692514281197</v>
      </c>
      <c r="F73" s="5">
        <f t="shared" si="1"/>
        <v>-66.697743227883961</v>
      </c>
      <c r="G73" s="4">
        <f t="shared" si="4"/>
        <v>45.263690915532308</v>
      </c>
      <c r="H73" s="5">
        <f t="shared" si="2"/>
        <v>-1.4735374398068921</v>
      </c>
      <c r="I73" s="4" t="str">
        <f t="shared" si="3"/>
        <v>Neutral</v>
      </c>
      <c r="N73" s="4">
        <v>2</v>
      </c>
      <c r="O73" s="4">
        <v>-2</v>
      </c>
    </row>
    <row r="74" spans="1:15" x14ac:dyDescent="0.25">
      <c r="A74" s="3">
        <v>45864</v>
      </c>
      <c r="B74" s="4">
        <v>117850</v>
      </c>
      <c r="C74" s="4">
        <v>184.88</v>
      </c>
      <c r="D74" s="5">
        <v>637.44050194720899</v>
      </c>
      <c r="E74" s="5">
        <f t="shared" si="0"/>
        <v>692.43804900100554</v>
      </c>
      <c r="F74" s="5">
        <f t="shared" si="1"/>
        <v>-54.997547053796552</v>
      </c>
      <c r="G74" s="4">
        <f t="shared" si="4"/>
        <v>44.316507695899212</v>
      </c>
      <c r="H74" s="5">
        <f t="shared" si="2"/>
        <v>-1.2410171720026058</v>
      </c>
      <c r="I74" s="4" t="str">
        <f t="shared" si="3"/>
        <v>Neutral</v>
      </c>
      <c r="N74" s="4">
        <v>2</v>
      </c>
      <c r="O74" s="4">
        <v>-2</v>
      </c>
    </row>
    <row r="75" spans="1:15" x14ac:dyDescent="0.25">
      <c r="A75" s="3">
        <v>45865</v>
      </c>
      <c r="B75" s="4">
        <v>119395.67</v>
      </c>
      <c r="C75" s="4">
        <v>188.56</v>
      </c>
      <c r="D75" s="5">
        <v>633.19723165040307</v>
      </c>
      <c r="E75" s="5">
        <f t="shared" si="0"/>
        <v>688.46257697585008</v>
      </c>
      <c r="F75" s="5">
        <f t="shared" si="1"/>
        <v>-55.265345325447015</v>
      </c>
      <c r="G75" s="4">
        <f t="shared" si="4"/>
        <v>44.09518471198659</v>
      </c>
      <c r="H75" s="5">
        <f t="shared" si="2"/>
        <v>-1.2533192838723723</v>
      </c>
      <c r="I75" s="4" t="str">
        <f t="shared" si="3"/>
        <v>Neutral</v>
      </c>
      <c r="N75" s="4">
        <v>2</v>
      </c>
      <c r="O75" s="4">
        <v>-2</v>
      </c>
    </row>
    <row r="76" spans="1:15" x14ac:dyDescent="0.25">
      <c r="A76" s="3">
        <v>45866</v>
      </c>
      <c r="B76" s="4">
        <v>118080.54</v>
      </c>
      <c r="C76" s="4">
        <v>182.39</v>
      </c>
      <c r="D76" s="5">
        <v>647.40687537693952</v>
      </c>
      <c r="E76" s="5">
        <f t="shared" si="0"/>
        <v>686.30351838688841</v>
      </c>
      <c r="F76" s="5">
        <f t="shared" si="1"/>
        <v>-38.896643009948889</v>
      </c>
      <c r="G76" s="4">
        <f t="shared" si="4"/>
        <v>44.477986584334751</v>
      </c>
      <c r="H76" s="5">
        <f t="shared" si="2"/>
        <v>-0.87451447327088261</v>
      </c>
      <c r="I76" s="4" t="str">
        <f t="shared" si="3"/>
        <v>Neutral</v>
      </c>
      <c r="N76" s="4">
        <v>2</v>
      </c>
      <c r="O76" s="4">
        <v>-2</v>
      </c>
    </row>
    <row r="77" spans="1:15" x14ac:dyDescent="0.25">
      <c r="A77" s="3">
        <v>45867</v>
      </c>
      <c r="B77" s="4">
        <v>117875.98</v>
      </c>
      <c r="C77" s="4">
        <v>181.61</v>
      </c>
      <c r="D77" s="5">
        <v>649.06106491933258</v>
      </c>
      <c r="E77" s="5">
        <f t="shared" si="0"/>
        <v>684.38481788002355</v>
      </c>
      <c r="F77" s="5">
        <f t="shared" si="1"/>
        <v>-35.323752960690967</v>
      </c>
      <c r="G77" s="4">
        <f t="shared" si="4"/>
        <v>44.811544643750551</v>
      </c>
      <c r="H77" s="5">
        <f t="shared" si="2"/>
        <v>-0.78827349607144692</v>
      </c>
      <c r="I77" s="4" t="str">
        <f t="shared" si="3"/>
        <v>Neutral</v>
      </c>
      <c r="N77" s="4">
        <v>2</v>
      </c>
      <c r="O77" s="4">
        <v>-2</v>
      </c>
    </row>
    <row r="78" spans="1:15" x14ac:dyDescent="0.25">
      <c r="A78" s="3">
        <v>45868</v>
      </c>
      <c r="B78" s="4">
        <v>117880.12</v>
      </c>
      <c r="C78" s="4">
        <v>177.69</v>
      </c>
      <c r="D78" s="5">
        <v>663.40323034498283</v>
      </c>
      <c r="E78" s="5">
        <f t="shared" si="0"/>
        <v>683.41298016275857</v>
      </c>
      <c r="F78" s="5">
        <f t="shared" si="1"/>
        <v>-20.009749817775742</v>
      </c>
      <c r="G78" s="4">
        <f t="shared" si="4"/>
        <v>44.944121477136228</v>
      </c>
      <c r="H78" s="5">
        <f t="shared" si="2"/>
        <v>-0.44521394923594204</v>
      </c>
      <c r="I78" s="4" t="str">
        <f t="shared" si="3"/>
        <v>Neutral</v>
      </c>
      <c r="N78" s="4">
        <v>2</v>
      </c>
      <c r="O78" s="4">
        <v>-2</v>
      </c>
    </row>
    <row r="79" spans="1:15" x14ac:dyDescent="0.25">
      <c r="A79" s="3">
        <v>45869</v>
      </c>
      <c r="B79" s="4">
        <v>115660.09</v>
      </c>
      <c r="C79" s="4">
        <v>172.28</v>
      </c>
      <c r="D79" s="5">
        <v>671.34948920362194</v>
      </c>
      <c r="E79" s="5">
        <f t="shared" si="0"/>
        <v>681.81724936908313</v>
      </c>
      <c r="F79" s="5">
        <f t="shared" si="1"/>
        <v>-10.467760165461186</v>
      </c>
      <c r="G79" s="4">
        <f t="shared" si="4"/>
        <v>44.476317159106983</v>
      </c>
      <c r="H79" s="5">
        <f t="shared" si="2"/>
        <v>-0.2353558215716115</v>
      </c>
      <c r="I79" s="4" t="str">
        <f t="shared" si="3"/>
        <v>Neutral</v>
      </c>
      <c r="N79" s="4">
        <v>2</v>
      </c>
      <c r="O79" s="4">
        <v>-2</v>
      </c>
    </row>
    <row r="80" spans="1:15" x14ac:dyDescent="0.25">
      <c r="A80" s="3">
        <v>45870</v>
      </c>
      <c r="B80" s="4">
        <v>113343.12</v>
      </c>
      <c r="C80" s="4">
        <v>163</v>
      </c>
      <c r="D80" s="5">
        <v>695.35656441717788</v>
      </c>
      <c r="E80" s="5">
        <f t="shared" si="0"/>
        <v>681.1809674709724</v>
      </c>
      <c r="F80" s="5">
        <f t="shared" si="1"/>
        <v>14.175596946205474</v>
      </c>
      <c r="G80" s="4">
        <f t="shared" si="4"/>
        <v>44.128627333691362</v>
      </c>
      <c r="H80" s="5">
        <f t="shared" si="2"/>
        <v>0.32123358016583209</v>
      </c>
      <c r="I80" s="4" t="str">
        <f t="shared" si="3"/>
        <v>Neutral</v>
      </c>
      <c r="N80" s="4">
        <v>2</v>
      </c>
      <c r="O80" s="4">
        <v>-2</v>
      </c>
    </row>
    <row r="81" spans="1:15" x14ac:dyDescent="0.25">
      <c r="A81" s="3">
        <v>45871</v>
      </c>
      <c r="B81" s="4">
        <v>112784.96000000001</v>
      </c>
      <c r="C81" s="4">
        <v>158.59</v>
      </c>
      <c r="D81" s="5">
        <v>711.173213947916</v>
      </c>
      <c r="E81" s="5">
        <f t="shared" si="0"/>
        <v>680.94929203564527</v>
      </c>
      <c r="F81" s="5">
        <f t="shared" si="1"/>
        <v>30.223921912270725</v>
      </c>
      <c r="G81" s="4">
        <f t="shared" si="4"/>
        <v>43.945857124169201</v>
      </c>
      <c r="H81" s="5">
        <f t="shared" si="2"/>
        <v>0.68775361069583663</v>
      </c>
      <c r="I81" s="4" t="str">
        <f t="shared" si="3"/>
        <v>Neutral</v>
      </c>
      <c r="N81" s="4">
        <v>2</v>
      </c>
      <c r="O81" s="4">
        <v>-2</v>
      </c>
    </row>
    <row r="82" spans="1:15" x14ac:dyDescent="0.25">
      <c r="A82" s="3">
        <v>45872</v>
      </c>
      <c r="B82" s="4">
        <v>114126.62</v>
      </c>
      <c r="C82" s="4">
        <v>162.19999999999999</v>
      </c>
      <c r="D82" s="5">
        <v>703.61664611590629</v>
      </c>
      <c r="E82" s="5">
        <f t="shared" si="0"/>
        <v>680.00663810105868</v>
      </c>
      <c r="F82" s="5">
        <f t="shared" si="1"/>
        <v>23.610008014847608</v>
      </c>
      <c r="G82" s="4">
        <f t="shared" si="4"/>
        <v>43.110711315118628</v>
      </c>
      <c r="H82" s="5">
        <f t="shared" si="2"/>
        <v>0.54765990387562313</v>
      </c>
      <c r="I82" s="4" t="str">
        <f t="shared" si="3"/>
        <v>Neutral</v>
      </c>
      <c r="N82" s="4">
        <v>2</v>
      </c>
      <c r="O82" s="4">
        <v>-2</v>
      </c>
    </row>
    <row r="83" spans="1:15" x14ac:dyDescent="0.25">
      <c r="A83" s="3">
        <v>45873</v>
      </c>
      <c r="B83" s="4">
        <v>115176.19</v>
      </c>
      <c r="C83" s="4">
        <v>169.46</v>
      </c>
      <c r="D83" s="5">
        <v>679.66593886462886</v>
      </c>
      <c r="E83" s="5">
        <f t="shared" si="0"/>
        <v>678.19994958454345</v>
      </c>
      <c r="F83" s="5">
        <f t="shared" si="1"/>
        <v>1.4659892800854095</v>
      </c>
      <c r="G83" s="4">
        <f t="shared" si="4"/>
        <v>41.894270433146787</v>
      </c>
      <c r="H83" s="5">
        <f t="shared" si="2"/>
        <v>3.4992596002471912E-2</v>
      </c>
      <c r="I83" s="4" t="str">
        <f t="shared" si="3"/>
        <v>Neutral</v>
      </c>
      <c r="N83" s="4">
        <v>2</v>
      </c>
      <c r="O83" s="4">
        <v>-2</v>
      </c>
    </row>
    <row r="84" spans="1:15" x14ac:dyDescent="0.25">
      <c r="A84" s="3">
        <v>45874</v>
      </c>
      <c r="B84" s="4">
        <v>114191.49</v>
      </c>
      <c r="C84" s="4">
        <v>164.19</v>
      </c>
      <c r="D84" s="5">
        <v>695.48382970948296</v>
      </c>
      <c r="E84" s="5">
        <f t="shared" si="0"/>
        <v>677.40338238358038</v>
      </c>
      <c r="F84" s="5">
        <f t="shared" si="1"/>
        <v>18.080447325902583</v>
      </c>
      <c r="G84" s="4">
        <f t="shared" si="4"/>
        <v>41.307341621663099</v>
      </c>
      <c r="H84" s="5">
        <f t="shared" si="2"/>
        <v>0.43770542029798709</v>
      </c>
      <c r="I84" s="4" t="str">
        <f t="shared" si="3"/>
        <v>Neutral</v>
      </c>
      <c r="N84" s="4">
        <v>2</v>
      </c>
      <c r="O84" s="4">
        <v>-2</v>
      </c>
    </row>
    <row r="85" spans="1:15" x14ac:dyDescent="0.25">
      <c r="A85" s="3">
        <v>45875</v>
      </c>
      <c r="B85" s="4">
        <v>115054.66</v>
      </c>
      <c r="C85" s="4">
        <v>167.96</v>
      </c>
      <c r="D85" s="5">
        <v>685.01226482495827</v>
      </c>
      <c r="E85" s="5">
        <f t="shared" si="0"/>
        <v>676.02445170242015</v>
      </c>
      <c r="F85" s="5">
        <f t="shared" si="1"/>
        <v>8.9878131225381139</v>
      </c>
      <c r="G85" s="4">
        <f t="shared" si="4"/>
        <v>40.294057943446639</v>
      </c>
      <c r="H85" s="5">
        <f t="shared" si="2"/>
        <v>0.22305554668017441</v>
      </c>
      <c r="I85" s="4" t="str">
        <f t="shared" si="3"/>
        <v>Neutral</v>
      </c>
      <c r="N85" s="4">
        <v>2</v>
      </c>
      <c r="O85" s="4">
        <v>-2</v>
      </c>
    </row>
    <row r="86" spans="1:15" x14ac:dyDescent="0.25">
      <c r="A86" s="3">
        <v>45876</v>
      </c>
      <c r="B86" s="4">
        <v>117499.31</v>
      </c>
      <c r="C86" s="4">
        <v>175.49</v>
      </c>
      <c r="D86" s="5">
        <v>669.54988888255741</v>
      </c>
      <c r="E86" s="5">
        <f t="shared" si="0"/>
        <v>674.41187427696752</v>
      </c>
      <c r="F86" s="5">
        <f t="shared" si="1"/>
        <v>-4.8619853944101123</v>
      </c>
      <c r="G86" s="4">
        <f t="shared" si="4"/>
        <v>39.519872153203288</v>
      </c>
      <c r="H86" s="5">
        <f t="shared" si="2"/>
        <v>-0.12302634420379883</v>
      </c>
      <c r="I86" s="4" t="str">
        <f t="shared" si="3"/>
        <v>Neutral</v>
      </c>
      <c r="N86" s="4">
        <v>2</v>
      </c>
      <c r="O86" s="4">
        <v>-2</v>
      </c>
    </row>
    <row r="87" spans="1:15" x14ac:dyDescent="0.25">
      <c r="A87" s="3">
        <v>45877</v>
      </c>
      <c r="B87" s="4">
        <v>116929.14</v>
      </c>
      <c r="C87" s="4">
        <v>176.7</v>
      </c>
      <c r="D87" s="5">
        <v>661.7382003395586</v>
      </c>
      <c r="E87" s="5">
        <f t="shared" si="0"/>
        <v>672.80506669774559</v>
      </c>
      <c r="F87" s="5">
        <f t="shared" si="1"/>
        <v>-11.066866358186985</v>
      </c>
      <c r="G87" s="4">
        <f t="shared" si="4"/>
        <v>39.002004997371017</v>
      </c>
      <c r="H87" s="5">
        <f t="shared" si="2"/>
        <v>-0.28375121635241474</v>
      </c>
      <c r="I87" s="4" t="str">
        <f t="shared" si="3"/>
        <v>Neutral</v>
      </c>
      <c r="N87" s="4">
        <v>2</v>
      </c>
      <c r="O87" s="4">
        <v>-2</v>
      </c>
    </row>
    <row r="88" spans="1:15" x14ac:dyDescent="0.25">
      <c r="A88" s="3">
        <v>45878</v>
      </c>
      <c r="B88" s="4">
        <v>116469</v>
      </c>
      <c r="C88" s="4">
        <v>180.35</v>
      </c>
      <c r="D88" s="5">
        <v>645.7942888827281</v>
      </c>
      <c r="E88" s="5">
        <f t="shared" si="0"/>
        <v>670.75664610023421</v>
      </c>
      <c r="F88" s="5">
        <f t="shared" si="1"/>
        <v>-24.96235721750611</v>
      </c>
      <c r="G88" s="4">
        <f t="shared" si="4"/>
        <v>38.743629678951194</v>
      </c>
      <c r="H88" s="5">
        <f t="shared" si="2"/>
        <v>-0.64429578292887124</v>
      </c>
      <c r="I88" s="4" t="str">
        <f t="shared" si="3"/>
        <v>Neutral</v>
      </c>
      <c r="N88" s="4">
        <v>2</v>
      </c>
      <c r="O88" s="4">
        <v>-2</v>
      </c>
    </row>
    <row r="89" spans="1:15" x14ac:dyDescent="0.25">
      <c r="A89" s="3">
        <v>45879</v>
      </c>
      <c r="B89" s="4">
        <v>118980.47</v>
      </c>
      <c r="C89" s="4">
        <v>182.93</v>
      </c>
      <c r="D89" s="5">
        <v>650.41529546821187</v>
      </c>
      <c r="E89" s="5">
        <f t="shared" si="0"/>
        <v>668.40439157677122</v>
      </c>
      <c r="F89" s="5">
        <f t="shared" si="1"/>
        <v>-17.989096108559352</v>
      </c>
      <c r="G89" s="4">
        <f t="shared" si="4"/>
        <v>37.717687323246494</v>
      </c>
      <c r="H89" s="5">
        <f t="shared" si="2"/>
        <v>-0.4769405916749343</v>
      </c>
      <c r="I89" s="4" t="str">
        <f t="shared" si="3"/>
        <v>Neutral</v>
      </c>
      <c r="N89" s="4">
        <v>2</v>
      </c>
      <c r="O89" s="4">
        <v>-2</v>
      </c>
    </row>
    <row r="90" spans="1:15" x14ac:dyDescent="0.25">
      <c r="A90" s="3">
        <v>45880</v>
      </c>
      <c r="B90" s="4">
        <v>118808.69</v>
      </c>
      <c r="C90" s="4">
        <v>175.03</v>
      </c>
      <c r="D90" s="5">
        <v>678.79043592527</v>
      </c>
      <c r="E90" s="5">
        <f t="shared" si="0"/>
        <v>666.67425369465047</v>
      </c>
      <c r="F90" s="5">
        <f t="shared" si="1"/>
        <v>12.116182230619529</v>
      </c>
      <c r="G90" s="4">
        <f t="shared" si="4"/>
        <v>35.908934702353541</v>
      </c>
      <c r="H90" s="5">
        <f t="shared" si="2"/>
        <v>0.33741413748554927</v>
      </c>
      <c r="I90" s="4" t="str">
        <f t="shared" si="3"/>
        <v>Neutral</v>
      </c>
      <c r="N90" s="4">
        <v>2</v>
      </c>
      <c r="O90" s="4">
        <v>-2</v>
      </c>
    </row>
    <row r="91" spans="1:15" x14ac:dyDescent="0.25">
      <c r="A91" s="3">
        <v>45881</v>
      </c>
      <c r="B91" s="4">
        <v>120266.64</v>
      </c>
      <c r="C91" s="4">
        <v>191.95</v>
      </c>
      <c r="D91" s="5">
        <v>626.55191456108366</v>
      </c>
      <c r="E91" s="5">
        <f t="shared" si="0"/>
        <v>662.96534526703931</v>
      </c>
      <c r="F91" s="5">
        <f t="shared" si="1"/>
        <v>-36.413430705955648</v>
      </c>
      <c r="G91" s="4">
        <f t="shared" si="4"/>
        <v>34.002849502022997</v>
      </c>
      <c r="H91" s="5">
        <f t="shared" si="2"/>
        <v>-1.0708935056689657</v>
      </c>
      <c r="I91" s="4" t="str">
        <f t="shared" si="3"/>
        <v>Neutral</v>
      </c>
      <c r="N91" s="4">
        <v>2</v>
      </c>
      <c r="O91" s="4">
        <v>-2</v>
      </c>
    </row>
    <row r="92" spans="1:15" x14ac:dyDescent="0.25">
      <c r="A92" s="3">
        <v>45882</v>
      </c>
      <c r="B92" s="4">
        <v>123109.9</v>
      </c>
      <c r="C92" s="4">
        <v>201.37</v>
      </c>
      <c r="D92" s="5">
        <v>611.36167254307986</v>
      </c>
      <c r="E92" s="5">
        <f t="shared" si="0"/>
        <v>658.72779425036924</v>
      </c>
      <c r="F92" s="5">
        <f t="shared" si="1"/>
        <v>-47.366121707289381</v>
      </c>
      <c r="G92" s="4">
        <f t="shared" si="4"/>
        <v>32.136643220419167</v>
      </c>
      <c r="H92" s="5">
        <f t="shared" si="2"/>
        <v>-1.4738976122183669</v>
      </c>
      <c r="I92" s="4" t="str">
        <f t="shared" si="3"/>
        <v>Neutral</v>
      </c>
      <c r="N92" s="4">
        <v>2</v>
      </c>
      <c r="O92" s="4">
        <v>-2</v>
      </c>
    </row>
    <row r="93" spans="1:15" x14ac:dyDescent="0.25">
      <c r="A93" s="3">
        <v>45883</v>
      </c>
      <c r="B93" s="4">
        <v>118094.39999999999</v>
      </c>
      <c r="C93" s="4">
        <v>192.52</v>
      </c>
      <c r="D93" s="5">
        <v>613.41367130687718</v>
      </c>
      <c r="E93" s="5">
        <f t="shared" si="0"/>
        <v>655.27070578022051</v>
      </c>
      <c r="F93" s="5">
        <f t="shared" si="1"/>
        <v>-41.857034473343333</v>
      </c>
      <c r="G93" s="4">
        <f t="shared" si="4"/>
        <v>31.202668300182683</v>
      </c>
      <c r="H93" s="5">
        <f t="shared" si="2"/>
        <v>-1.3414568930663622</v>
      </c>
      <c r="I93" s="4" t="str">
        <f t="shared" si="3"/>
        <v>Neutral</v>
      </c>
      <c r="N93" s="4">
        <v>2</v>
      </c>
      <c r="O93" s="4">
        <v>-2</v>
      </c>
    </row>
    <row r="94" spans="1:15" x14ac:dyDescent="0.25">
      <c r="A94" s="3">
        <v>45884</v>
      </c>
      <c r="B94" s="4">
        <v>117335.65</v>
      </c>
      <c r="C94" s="4">
        <v>185.77</v>
      </c>
      <c r="D94" s="5">
        <v>631.61786079560738</v>
      </c>
      <c r="E94" s="5">
        <f t="shared" si="0"/>
        <v>653.54428062370721</v>
      </c>
      <c r="F94" s="5">
        <f t="shared" si="1"/>
        <v>-21.926419828099824</v>
      </c>
      <c r="G94" s="4">
        <f t="shared" si="4"/>
        <v>31.024336945977641</v>
      </c>
      <c r="H94" s="5">
        <f t="shared" si="2"/>
        <v>-0.70674902307437137</v>
      </c>
      <c r="I94" s="4" t="str">
        <f t="shared" si="3"/>
        <v>Neutral</v>
      </c>
      <c r="N94" s="4">
        <v>2</v>
      </c>
      <c r="O94" s="4">
        <v>-2</v>
      </c>
    </row>
    <row r="95" spans="1:15" x14ac:dyDescent="0.25">
      <c r="A95" s="3">
        <v>45885</v>
      </c>
      <c r="B95" s="4">
        <v>117385.76</v>
      </c>
      <c r="C95" s="4">
        <v>189.53</v>
      </c>
      <c r="D95" s="5">
        <v>619.35187041629285</v>
      </c>
      <c r="E95" s="5">
        <f t="shared" si="0"/>
        <v>651.55741656399039</v>
      </c>
      <c r="F95" s="5">
        <f t="shared" si="1"/>
        <v>-32.205546147697532</v>
      </c>
      <c r="G95" s="4">
        <f t="shared" si="4"/>
        <v>31.248514715705866</v>
      </c>
      <c r="H95" s="5">
        <f t="shared" si="2"/>
        <v>-1.0306264614718039</v>
      </c>
      <c r="I95" s="4" t="str">
        <f t="shared" si="3"/>
        <v>Neutral</v>
      </c>
      <c r="N95" s="4">
        <v>2</v>
      </c>
      <c r="O95" s="4">
        <v>-2</v>
      </c>
    </row>
    <row r="96" spans="1:15" x14ac:dyDescent="0.25">
      <c r="A96" s="3">
        <v>45886</v>
      </c>
      <c r="B96" s="4">
        <v>117444.35</v>
      </c>
      <c r="C96" s="4">
        <v>191.17</v>
      </c>
      <c r="D96" s="5">
        <v>614.34508552597174</v>
      </c>
      <c r="E96" s="5">
        <f t="shared" ref="E96:E159" si="5">AVERAGE(D67:D96)</f>
        <v>649.85121866775887</v>
      </c>
      <c r="F96" s="5">
        <f t="shared" ref="F96:F159" si="6">(D96-E96)</f>
        <v>-35.506133141787132</v>
      </c>
      <c r="G96" s="4">
        <f t="shared" si="4"/>
        <v>31.850828533164158</v>
      </c>
      <c r="H96" s="5">
        <f t="shared" ref="H96:H159" si="7">(F96/G96)</f>
        <v>-1.1147632503442397</v>
      </c>
      <c r="I96" s="4" t="str">
        <f t="shared" ref="I96:I159" si="8">IF(H96&gt;2, "BTC rich vs SOL", IF(H96&lt;-2,"BTC cheap vs SOL","Neutral"))</f>
        <v>Neutral</v>
      </c>
      <c r="N96" s="4">
        <v>2</v>
      </c>
      <c r="O96" s="4">
        <v>-2</v>
      </c>
    </row>
    <row r="97" spans="1:15" x14ac:dyDescent="0.25">
      <c r="A97" s="3">
        <v>45887</v>
      </c>
      <c r="B97" s="4">
        <v>116540.82</v>
      </c>
      <c r="C97" s="4">
        <v>182.76</v>
      </c>
      <c r="D97" s="5">
        <v>637.67137229152991</v>
      </c>
      <c r="E97" s="5">
        <f t="shared" si="5"/>
        <v>648.88546342986297</v>
      </c>
      <c r="F97" s="5">
        <f t="shared" si="6"/>
        <v>-11.21409113833306</v>
      </c>
      <c r="G97" s="4">
        <f t="shared" ref="G97:G160" si="9">STDEV(D68:D97)</f>
        <v>31.763214865052632</v>
      </c>
      <c r="H97" s="5">
        <f t="shared" si="7"/>
        <v>-0.35305277460032314</v>
      </c>
      <c r="I97" s="4" t="str">
        <f t="shared" si="8"/>
        <v>Neutral</v>
      </c>
      <c r="N97" s="4">
        <v>2</v>
      </c>
      <c r="O97" s="4">
        <v>-2</v>
      </c>
    </row>
    <row r="98" spans="1:15" x14ac:dyDescent="0.25">
      <c r="A98" s="3">
        <v>45888</v>
      </c>
      <c r="B98" s="4">
        <v>113000</v>
      </c>
      <c r="C98" s="4">
        <v>176.05</v>
      </c>
      <c r="D98" s="5">
        <v>641.86310707185453</v>
      </c>
      <c r="E98" s="5">
        <f t="shared" si="5"/>
        <v>648.74577597059897</v>
      </c>
      <c r="F98" s="5">
        <f t="shared" si="6"/>
        <v>-6.8826688987444413</v>
      </c>
      <c r="G98" s="4">
        <f t="shared" si="9"/>
        <v>31.785304639726835</v>
      </c>
      <c r="H98" s="5">
        <f t="shared" si="7"/>
        <v>-0.21653619421794509</v>
      </c>
      <c r="I98" s="4" t="str">
        <f t="shared" si="8"/>
        <v>Neutral</v>
      </c>
      <c r="N98" s="4">
        <v>2</v>
      </c>
      <c r="O98" s="4">
        <v>-2</v>
      </c>
    </row>
    <row r="99" spans="1:15" x14ac:dyDescent="0.25">
      <c r="A99" s="3">
        <v>45889</v>
      </c>
      <c r="B99" s="4">
        <v>114647.28</v>
      </c>
      <c r="C99" s="4">
        <v>187.67</v>
      </c>
      <c r="D99" s="5">
        <v>610.89827889380297</v>
      </c>
      <c r="E99" s="5">
        <f t="shared" si="5"/>
        <v>649.10174424796821</v>
      </c>
      <c r="F99" s="5">
        <f t="shared" si="6"/>
        <v>-38.203465354165246</v>
      </c>
      <c r="G99" s="4">
        <f t="shared" si="9"/>
        <v>31.27887254585676</v>
      </c>
      <c r="H99" s="5">
        <f t="shared" si="7"/>
        <v>-1.2213824298863907</v>
      </c>
      <c r="I99" s="4" t="str">
        <f t="shared" si="8"/>
        <v>Neutral</v>
      </c>
      <c r="N99" s="4">
        <v>2</v>
      </c>
      <c r="O99" s="4">
        <v>-2</v>
      </c>
    </row>
    <row r="100" spans="1:15" x14ac:dyDescent="0.25">
      <c r="A100" s="3">
        <v>45890</v>
      </c>
      <c r="B100" s="4">
        <v>112356.62</v>
      </c>
      <c r="C100" s="4">
        <v>180.2</v>
      </c>
      <c r="D100" s="5">
        <v>623.51065482796889</v>
      </c>
      <c r="E100" s="5">
        <f t="shared" si="5"/>
        <v>650.45387092537703</v>
      </c>
      <c r="F100" s="5">
        <f t="shared" si="6"/>
        <v>-26.94321609740814</v>
      </c>
      <c r="G100" s="4">
        <f t="shared" si="9"/>
        <v>29.122958823721756</v>
      </c>
      <c r="H100" s="5">
        <f t="shared" si="7"/>
        <v>-0.92515380255463142</v>
      </c>
      <c r="I100" s="4" t="str">
        <f t="shared" si="8"/>
        <v>Neutral</v>
      </c>
      <c r="N100" s="4">
        <v>2</v>
      </c>
      <c r="O100" s="4">
        <v>-2</v>
      </c>
    </row>
    <row r="101" spans="1:15" x14ac:dyDescent="0.25">
      <c r="A101" s="3">
        <v>45891</v>
      </c>
      <c r="B101" s="4">
        <v>116924.55</v>
      </c>
      <c r="C101" s="4">
        <v>200.76</v>
      </c>
      <c r="D101" s="5">
        <v>582.40959354453082</v>
      </c>
      <c r="E101" s="5">
        <f t="shared" si="5"/>
        <v>648.96442789917046</v>
      </c>
      <c r="F101" s="5">
        <f t="shared" si="6"/>
        <v>-66.554834354639638</v>
      </c>
      <c r="G101" s="4">
        <f t="shared" si="9"/>
        <v>31.411611054729303</v>
      </c>
      <c r="H101" s="5">
        <f t="shared" si="7"/>
        <v>-2.1187972256080512</v>
      </c>
      <c r="I101" s="4" t="str">
        <f t="shared" si="8"/>
        <v>BTC cheap vs SOL</v>
      </c>
      <c r="N101" s="4">
        <v>2</v>
      </c>
      <c r="O101" s="4">
        <v>-2</v>
      </c>
    </row>
    <row r="102" spans="1:15" x14ac:dyDescent="0.25">
      <c r="A102" s="3">
        <v>45892</v>
      </c>
      <c r="B102" s="4">
        <v>115500.01</v>
      </c>
      <c r="C102" s="4">
        <v>204.1</v>
      </c>
      <c r="D102" s="5">
        <v>565.8991180793729</v>
      </c>
      <c r="E102" s="5">
        <f t="shared" si="5"/>
        <v>646.25068896263645</v>
      </c>
      <c r="F102" s="5">
        <f t="shared" si="6"/>
        <v>-80.351570883263548</v>
      </c>
      <c r="G102" s="4">
        <f t="shared" si="9"/>
        <v>34.884129090651754</v>
      </c>
      <c r="H102" s="5">
        <f t="shared" si="7"/>
        <v>-2.3033847476730087</v>
      </c>
      <c r="I102" s="4" t="str">
        <f t="shared" si="8"/>
        <v>BTC cheap vs SOL</v>
      </c>
      <c r="N102" s="4">
        <v>2</v>
      </c>
      <c r="O102" s="4">
        <v>-2</v>
      </c>
    </row>
    <row r="103" spans="1:15" x14ac:dyDescent="0.25">
      <c r="A103" s="3">
        <v>45893</v>
      </c>
      <c r="B103" s="4">
        <v>113400.01</v>
      </c>
      <c r="C103" s="4">
        <v>205.82</v>
      </c>
      <c r="D103" s="5">
        <v>550.96691283645907</v>
      </c>
      <c r="E103" s="5">
        <f t="shared" si="5"/>
        <v>643.61053578384394</v>
      </c>
      <c r="F103" s="5">
        <f t="shared" si="6"/>
        <v>-92.64362294738487</v>
      </c>
      <c r="G103" s="4">
        <f t="shared" si="9"/>
        <v>38.908166452706212</v>
      </c>
      <c r="H103" s="5">
        <f t="shared" si="7"/>
        <v>-2.3810842656899642</v>
      </c>
      <c r="I103" s="4" t="str">
        <f t="shared" si="8"/>
        <v>BTC cheap vs SOL</v>
      </c>
      <c r="N103" s="4">
        <v>2</v>
      </c>
      <c r="O103" s="4">
        <v>-2</v>
      </c>
    </row>
    <row r="104" spans="1:15" x14ac:dyDescent="0.25">
      <c r="A104" s="3">
        <v>45894</v>
      </c>
      <c r="B104" s="4">
        <v>110393.58</v>
      </c>
      <c r="C104" s="4">
        <v>187.33</v>
      </c>
      <c r="D104" s="5">
        <v>589.30005871990602</v>
      </c>
      <c r="E104" s="5">
        <f t="shared" si="5"/>
        <v>642.00585434293373</v>
      </c>
      <c r="F104" s="5">
        <f t="shared" si="6"/>
        <v>-52.705795623027711</v>
      </c>
      <c r="G104" s="4">
        <f t="shared" si="9"/>
        <v>40.144491445963716</v>
      </c>
      <c r="H104" s="5">
        <f t="shared" si="7"/>
        <v>-1.3129023117398828</v>
      </c>
      <c r="I104" s="4" t="str">
        <f t="shared" si="8"/>
        <v>Neutral</v>
      </c>
      <c r="N104" s="4">
        <v>2</v>
      </c>
      <c r="O104" s="4">
        <v>-2</v>
      </c>
    </row>
    <row r="105" spans="1:15" x14ac:dyDescent="0.25">
      <c r="A105" s="3">
        <v>45895</v>
      </c>
      <c r="B105" s="4">
        <v>111761.32</v>
      </c>
      <c r="C105" s="4">
        <v>195.77</v>
      </c>
      <c r="D105" s="5">
        <v>570.88072738417532</v>
      </c>
      <c r="E105" s="5">
        <f t="shared" si="5"/>
        <v>639.92863753405948</v>
      </c>
      <c r="F105" s="5">
        <f t="shared" si="6"/>
        <v>-69.04791014988416</v>
      </c>
      <c r="G105" s="4">
        <f t="shared" si="9"/>
        <v>42.176792348409442</v>
      </c>
      <c r="H105" s="5">
        <f t="shared" si="7"/>
        <v>-1.6371067192474174</v>
      </c>
      <c r="I105" s="4" t="str">
        <f t="shared" si="8"/>
        <v>Neutral</v>
      </c>
      <c r="N105" s="4">
        <v>2</v>
      </c>
      <c r="O105" s="4">
        <v>-2</v>
      </c>
    </row>
    <row r="106" spans="1:15" x14ac:dyDescent="0.25">
      <c r="A106" s="3">
        <v>45896</v>
      </c>
      <c r="B106" s="4">
        <v>111486.86</v>
      </c>
      <c r="C106" s="4">
        <v>202.7</v>
      </c>
      <c r="D106" s="5">
        <v>550.00917612234832</v>
      </c>
      <c r="E106" s="5">
        <f t="shared" si="5"/>
        <v>636.68204755890656</v>
      </c>
      <c r="F106" s="5">
        <f t="shared" si="6"/>
        <v>-86.672871436558239</v>
      </c>
      <c r="G106" s="4">
        <f t="shared" si="9"/>
        <v>45.220131188541892</v>
      </c>
      <c r="H106" s="5">
        <f t="shared" si="7"/>
        <v>-1.9166877485423981</v>
      </c>
      <c r="I106" s="4" t="str">
        <f t="shared" si="8"/>
        <v>Neutral</v>
      </c>
      <c r="N106" s="4">
        <v>2</v>
      </c>
      <c r="O106" s="4">
        <v>-2</v>
      </c>
    </row>
    <row r="107" spans="1:15" x14ac:dyDescent="0.25">
      <c r="A107" s="3">
        <v>45897</v>
      </c>
      <c r="B107" s="4">
        <v>112585.59</v>
      </c>
      <c r="C107" s="4">
        <v>214.2</v>
      </c>
      <c r="D107" s="5">
        <v>525.60966386554628</v>
      </c>
      <c r="E107" s="5">
        <f t="shared" si="5"/>
        <v>632.56700085711373</v>
      </c>
      <c r="F107" s="5">
        <f t="shared" si="6"/>
        <v>-106.95733699156744</v>
      </c>
      <c r="G107" s="4">
        <f t="shared" si="9"/>
        <v>49.471961318521188</v>
      </c>
      <c r="H107" s="5">
        <f t="shared" si="7"/>
        <v>-2.1619789096884872</v>
      </c>
      <c r="I107" s="4" t="str">
        <f t="shared" si="8"/>
        <v>BTC cheap vs SOL</v>
      </c>
      <c r="N107" s="4">
        <v>2</v>
      </c>
      <c r="O107" s="4">
        <v>-2</v>
      </c>
    </row>
    <row r="108" spans="1:15" x14ac:dyDescent="0.25">
      <c r="A108" s="3">
        <v>45898</v>
      </c>
      <c r="B108" s="4">
        <v>108401.64</v>
      </c>
      <c r="C108" s="4">
        <v>205.48</v>
      </c>
      <c r="D108" s="5">
        <v>527.55324119135685</v>
      </c>
      <c r="E108" s="5">
        <f t="shared" si="5"/>
        <v>628.03866788532616</v>
      </c>
      <c r="F108" s="5">
        <f t="shared" si="6"/>
        <v>-100.48542669396932</v>
      </c>
      <c r="G108" s="4">
        <f t="shared" si="9"/>
        <v>52.666359225935743</v>
      </c>
      <c r="H108" s="5">
        <f t="shared" si="7"/>
        <v>-1.9079622774548064</v>
      </c>
      <c r="I108" s="4" t="str">
        <f t="shared" si="8"/>
        <v>Neutral</v>
      </c>
      <c r="N108" s="4">
        <v>2</v>
      </c>
      <c r="O108" s="4">
        <v>-2</v>
      </c>
    </row>
    <row r="109" spans="1:15" x14ac:dyDescent="0.25">
      <c r="A109" s="3">
        <v>45899</v>
      </c>
      <c r="B109" s="4">
        <v>108569.75</v>
      </c>
      <c r="C109" s="4">
        <v>202.83</v>
      </c>
      <c r="D109" s="5">
        <v>535.27461420894338</v>
      </c>
      <c r="E109" s="5">
        <f t="shared" si="5"/>
        <v>623.50283871883687</v>
      </c>
      <c r="F109" s="5">
        <f t="shared" si="6"/>
        <v>-88.228224509893494</v>
      </c>
      <c r="G109" s="4">
        <f t="shared" si="9"/>
        <v>54.63065529905667</v>
      </c>
      <c r="H109" s="5">
        <f t="shared" si="7"/>
        <v>-1.6149948051495726</v>
      </c>
      <c r="I109" s="4" t="str">
        <f t="shared" si="8"/>
        <v>Neutral</v>
      </c>
      <c r="N109" s="4">
        <v>2</v>
      </c>
      <c r="O109" s="4">
        <v>-2</v>
      </c>
    </row>
    <row r="110" spans="1:15" x14ac:dyDescent="0.25">
      <c r="A110" s="3">
        <v>45900</v>
      </c>
      <c r="B110" s="4">
        <v>108432.11</v>
      </c>
      <c r="C110" s="4">
        <v>200.42</v>
      </c>
      <c r="D110" s="5">
        <v>541.02439876259859</v>
      </c>
      <c r="E110" s="5">
        <f t="shared" si="5"/>
        <v>618.35843319701746</v>
      </c>
      <c r="F110" s="5">
        <f t="shared" si="6"/>
        <v>-77.334034434418868</v>
      </c>
      <c r="G110" s="4">
        <f t="shared" si="9"/>
        <v>54.896936152626424</v>
      </c>
      <c r="H110" s="5">
        <f t="shared" si="7"/>
        <v>-1.4087131241607369</v>
      </c>
      <c r="I110" s="4" t="str">
        <f t="shared" si="8"/>
        <v>Neutral</v>
      </c>
      <c r="N110" s="4">
        <v>2</v>
      </c>
      <c r="O110" s="4">
        <v>-2</v>
      </c>
    </row>
    <row r="111" spans="1:15" x14ac:dyDescent="0.25">
      <c r="A111" s="3">
        <v>45901</v>
      </c>
      <c r="B111" s="4">
        <v>109061.86</v>
      </c>
      <c r="C111" s="4">
        <v>197.39</v>
      </c>
      <c r="D111" s="5">
        <v>552.51968184811801</v>
      </c>
      <c r="E111" s="5">
        <f t="shared" si="5"/>
        <v>613.0699821270241</v>
      </c>
      <c r="F111" s="5">
        <f t="shared" si="6"/>
        <v>-60.550300278906093</v>
      </c>
      <c r="G111" s="4">
        <f t="shared" si="9"/>
        <v>53.26500454985112</v>
      </c>
      <c r="H111" s="5">
        <f t="shared" si="7"/>
        <v>-1.1367745256125268</v>
      </c>
      <c r="I111" s="4" t="str">
        <f t="shared" si="8"/>
        <v>Neutral</v>
      </c>
      <c r="N111" s="4">
        <v>2</v>
      </c>
      <c r="O111" s="4">
        <v>-2</v>
      </c>
    </row>
    <row r="112" spans="1:15" x14ac:dyDescent="0.25">
      <c r="A112" s="3">
        <v>45902</v>
      </c>
      <c r="B112" s="4">
        <v>111276.18</v>
      </c>
      <c r="C112" s="4">
        <v>209.38</v>
      </c>
      <c r="D112" s="5">
        <v>531.45563091030658</v>
      </c>
      <c r="E112" s="5">
        <f t="shared" si="5"/>
        <v>607.3312816201709</v>
      </c>
      <c r="F112" s="5">
        <f t="shared" si="6"/>
        <v>-75.875650709864317</v>
      </c>
      <c r="G112" s="4">
        <f t="shared" si="9"/>
        <v>52.441061840220023</v>
      </c>
      <c r="H112" s="5">
        <f t="shared" si="7"/>
        <v>-1.4468747971016669</v>
      </c>
      <c r="I112" s="4" t="str">
        <f t="shared" si="8"/>
        <v>Neutral</v>
      </c>
      <c r="N112" s="4">
        <v>2</v>
      </c>
      <c r="O112" s="4">
        <v>-2</v>
      </c>
    </row>
    <row r="113" spans="1:15" x14ac:dyDescent="0.25">
      <c r="A113" s="3">
        <v>45903</v>
      </c>
      <c r="B113" s="4">
        <v>111960.28</v>
      </c>
      <c r="C113" s="4">
        <v>210.46</v>
      </c>
      <c r="D113" s="5">
        <v>531.97890335455668</v>
      </c>
      <c r="E113" s="5">
        <f t="shared" si="5"/>
        <v>602.40838043650183</v>
      </c>
      <c r="F113" s="5">
        <f t="shared" si="6"/>
        <v>-70.429477081945151</v>
      </c>
      <c r="G113" s="4">
        <f t="shared" si="9"/>
        <v>52.34847217434254</v>
      </c>
      <c r="H113" s="5">
        <f t="shared" si="7"/>
        <v>-1.345396993581498</v>
      </c>
      <c r="I113" s="4" t="str">
        <f t="shared" si="8"/>
        <v>Neutral</v>
      </c>
      <c r="N113" s="4">
        <v>2</v>
      </c>
      <c r="O113" s="4">
        <v>-2</v>
      </c>
    </row>
    <row r="114" spans="1:15" x14ac:dyDescent="0.25">
      <c r="A114" s="3">
        <v>45904</v>
      </c>
      <c r="B114" s="4">
        <v>110609.51</v>
      </c>
      <c r="C114" s="4">
        <v>202.45</v>
      </c>
      <c r="D114" s="5">
        <v>546.35470486539884</v>
      </c>
      <c r="E114" s="5">
        <f t="shared" si="5"/>
        <v>597.4374096083659</v>
      </c>
      <c r="F114" s="5">
        <f t="shared" si="6"/>
        <v>-51.082704742967053</v>
      </c>
      <c r="G114" s="4">
        <f t="shared" si="9"/>
        <v>50.243603946718771</v>
      </c>
      <c r="H114" s="5">
        <f t="shared" si="7"/>
        <v>-1.0167006490445651</v>
      </c>
      <c r="I114" s="4" t="str">
        <f t="shared" si="8"/>
        <v>Neutral</v>
      </c>
      <c r="N114" s="4">
        <v>2</v>
      </c>
      <c r="O114" s="4">
        <v>-2</v>
      </c>
    </row>
    <row r="115" spans="1:15" x14ac:dyDescent="0.25">
      <c r="A115" s="3">
        <v>45905</v>
      </c>
      <c r="B115" s="4">
        <v>110576.38</v>
      </c>
      <c r="C115" s="4">
        <v>203.56</v>
      </c>
      <c r="D115" s="5">
        <v>543.21271369620752</v>
      </c>
      <c r="E115" s="5">
        <f t="shared" si="5"/>
        <v>592.71075790407417</v>
      </c>
      <c r="F115" s="5">
        <f t="shared" si="6"/>
        <v>-49.498044207866656</v>
      </c>
      <c r="G115" s="4">
        <f t="shared" si="9"/>
        <v>48.355329086067854</v>
      </c>
      <c r="H115" s="5">
        <f t="shared" si="7"/>
        <v>-1.0236316274420318</v>
      </c>
      <c r="I115" s="4" t="str">
        <f t="shared" si="8"/>
        <v>Neutral</v>
      </c>
      <c r="N115" s="4">
        <v>2</v>
      </c>
      <c r="O115" s="4">
        <v>-2</v>
      </c>
    </row>
    <row r="116" spans="1:15" x14ac:dyDescent="0.25">
      <c r="A116" s="3">
        <v>45906</v>
      </c>
      <c r="B116" s="4">
        <v>110129.22</v>
      </c>
      <c r="C116" s="4">
        <v>200.29</v>
      </c>
      <c r="D116" s="5">
        <v>549.84881921214242</v>
      </c>
      <c r="E116" s="5">
        <f t="shared" si="5"/>
        <v>588.7207222483936</v>
      </c>
      <c r="F116" s="5">
        <f t="shared" si="6"/>
        <v>-38.871903036251183</v>
      </c>
      <c r="G116" s="4">
        <f t="shared" si="9"/>
        <v>46.706781565690989</v>
      </c>
      <c r="H116" s="5">
        <f t="shared" si="7"/>
        <v>-0.83225394114513329</v>
      </c>
      <c r="I116" s="4" t="str">
        <f t="shared" si="8"/>
        <v>Neutral</v>
      </c>
      <c r="N116" s="4">
        <v>2</v>
      </c>
      <c r="O116" s="4">
        <v>-2</v>
      </c>
    </row>
    <row r="117" spans="1:15" x14ac:dyDescent="0.25">
      <c r="A117" s="3">
        <v>45907</v>
      </c>
      <c r="B117" s="4">
        <v>111489.92</v>
      </c>
      <c r="C117" s="4">
        <v>206.78</v>
      </c>
      <c r="D117" s="5">
        <v>539.1716800464261</v>
      </c>
      <c r="E117" s="5">
        <f t="shared" si="5"/>
        <v>584.63517157195577</v>
      </c>
      <c r="F117" s="5">
        <f t="shared" si="6"/>
        <v>-45.463491525529662</v>
      </c>
      <c r="G117" s="4">
        <f t="shared" si="9"/>
        <v>45.443023677999072</v>
      </c>
      <c r="H117" s="5">
        <f t="shared" si="7"/>
        <v>-1.0004504068143798</v>
      </c>
      <c r="I117" s="4" t="str">
        <f t="shared" si="8"/>
        <v>Neutral</v>
      </c>
      <c r="N117" s="4">
        <v>2</v>
      </c>
      <c r="O117" s="4">
        <v>-2</v>
      </c>
    </row>
    <row r="118" spans="1:15" x14ac:dyDescent="0.25">
      <c r="A118" s="3">
        <v>45908</v>
      </c>
      <c r="B118" s="4">
        <v>111951.09</v>
      </c>
      <c r="C118" s="4">
        <v>214.29</v>
      </c>
      <c r="D118" s="5">
        <v>522.42797144057124</v>
      </c>
      <c r="E118" s="5">
        <f t="shared" si="5"/>
        <v>580.52296099055059</v>
      </c>
      <c r="F118" s="5">
        <f t="shared" si="6"/>
        <v>-58.094989549979346</v>
      </c>
      <c r="G118" s="4">
        <f t="shared" si="9"/>
        <v>45.299377125562835</v>
      </c>
      <c r="H118" s="5">
        <f t="shared" si="7"/>
        <v>-1.2824677343564583</v>
      </c>
      <c r="I118" s="4" t="str">
        <f t="shared" si="8"/>
        <v>Neutral</v>
      </c>
      <c r="N118" s="4">
        <v>2</v>
      </c>
      <c r="O118" s="4">
        <v>-2</v>
      </c>
    </row>
    <row r="119" spans="1:15" x14ac:dyDescent="0.25">
      <c r="A119" s="3">
        <v>45909</v>
      </c>
      <c r="B119" s="4">
        <v>111584.15</v>
      </c>
      <c r="C119" s="4">
        <v>217.23</v>
      </c>
      <c r="D119" s="5">
        <v>513.66823182801636</v>
      </c>
      <c r="E119" s="5">
        <f t="shared" si="5"/>
        <v>575.96472553587739</v>
      </c>
      <c r="F119" s="5">
        <f t="shared" si="6"/>
        <v>-62.296493707861032</v>
      </c>
      <c r="G119" s="4">
        <f t="shared" si="9"/>
        <v>44.902294139151053</v>
      </c>
      <c r="H119" s="5">
        <f t="shared" si="7"/>
        <v>-1.3873788611959514</v>
      </c>
      <c r="I119" s="4" t="str">
        <f t="shared" si="8"/>
        <v>Neutral</v>
      </c>
      <c r="N119" s="4">
        <v>2</v>
      </c>
      <c r="O119" s="4">
        <v>-2</v>
      </c>
    </row>
    <row r="120" spans="1:15" x14ac:dyDescent="0.25">
      <c r="A120" s="3">
        <v>45910</v>
      </c>
      <c r="B120" s="4">
        <v>113996.01</v>
      </c>
      <c r="C120" s="4">
        <v>224.08</v>
      </c>
      <c r="D120" s="5">
        <v>508.72906997500888</v>
      </c>
      <c r="E120" s="5">
        <f t="shared" si="5"/>
        <v>570.29601333753521</v>
      </c>
      <c r="F120" s="5">
        <f t="shared" si="6"/>
        <v>-61.566943362526331</v>
      </c>
      <c r="G120" s="4">
        <f t="shared" si="9"/>
        <v>42.12204855998155</v>
      </c>
      <c r="H120" s="5">
        <f t="shared" si="7"/>
        <v>-1.4616322203526109</v>
      </c>
      <c r="I120" s="4" t="str">
        <f t="shared" si="8"/>
        <v>Neutral</v>
      </c>
      <c r="N120" s="4">
        <v>2</v>
      </c>
      <c r="O120" s="4">
        <v>-2</v>
      </c>
    </row>
    <row r="121" spans="1:15" x14ac:dyDescent="0.25">
      <c r="A121" s="3">
        <v>45911</v>
      </c>
      <c r="B121" s="4">
        <v>115410.52</v>
      </c>
      <c r="C121" s="4">
        <v>228.72</v>
      </c>
      <c r="D121" s="5">
        <v>504.59303952430923</v>
      </c>
      <c r="E121" s="5">
        <f t="shared" si="5"/>
        <v>566.23071750297618</v>
      </c>
      <c r="F121" s="5">
        <f t="shared" si="6"/>
        <v>-61.637677978666943</v>
      </c>
      <c r="G121" s="4">
        <f t="shared" si="9"/>
        <v>42.38985634622216</v>
      </c>
      <c r="H121" s="5">
        <f t="shared" si="7"/>
        <v>-1.4540666869742807</v>
      </c>
      <c r="I121" s="4" t="str">
        <f t="shared" si="8"/>
        <v>Neutral</v>
      </c>
      <c r="N121" s="4">
        <v>2</v>
      </c>
      <c r="O121" s="4">
        <v>-2</v>
      </c>
    </row>
    <row r="122" spans="1:15" x14ac:dyDescent="0.25">
      <c r="A122" s="3">
        <v>45912</v>
      </c>
      <c r="B122" s="4">
        <v>116186.2</v>
      </c>
      <c r="C122" s="4">
        <v>241.71</v>
      </c>
      <c r="D122" s="5">
        <v>480.68429109263161</v>
      </c>
      <c r="E122" s="5">
        <f t="shared" si="5"/>
        <v>561.87480478796112</v>
      </c>
      <c r="F122" s="5">
        <f t="shared" si="6"/>
        <v>-81.190513695329514</v>
      </c>
      <c r="G122" s="4">
        <f t="shared" si="9"/>
        <v>44.26498048074874</v>
      </c>
      <c r="H122" s="5">
        <f t="shared" si="7"/>
        <v>-1.8341929175963387</v>
      </c>
      <c r="I122" s="4" t="str">
        <f t="shared" si="8"/>
        <v>Neutral</v>
      </c>
      <c r="N122" s="4">
        <v>2</v>
      </c>
      <c r="O122" s="4">
        <v>-2</v>
      </c>
    </row>
    <row r="123" spans="1:15" x14ac:dyDescent="0.25">
      <c r="A123" s="3">
        <v>45913</v>
      </c>
      <c r="B123" s="4">
        <v>115968.46</v>
      </c>
      <c r="C123" s="4">
        <v>242.61</v>
      </c>
      <c r="D123" s="5">
        <v>478.00362722064216</v>
      </c>
      <c r="E123" s="5">
        <f t="shared" si="5"/>
        <v>557.36113665175333</v>
      </c>
      <c r="F123" s="5">
        <f t="shared" si="6"/>
        <v>-79.357509431111168</v>
      </c>
      <c r="G123" s="4">
        <f t="shared" si="9"/>
        <v>45.708668941245321</v>
      </c>
      <c r="H123" s="5">
        <f t="shared" si="7"/>
        <v>-1.7361588352773656</v>
      </c>
      <c r="I123" s="4" t="str">
        <f t="shared" si="8"/>
        <v>Neutral</v>
      </c>
      <c r="N123" s="4">
        <v>2</v>
      </c>
      <c r="O123" s="4">
        <v>-2</v>
      </c>
    </row>
    <row r="124" spans="1:15" x14ac:dyDescent="0.25">
      <c r="A124" s="3">
        <v>45914</v>
      </c>
      <c r="B124" s="4">
        <v>115555.39</v>
      </c>
      <c r="C124" s="4">
        <v>239.9</v>
      </c>
      <c r="D124" s="5">
        <v>481.68149228845351</v>
      </c>
      <c r="E124" s="5">
        <f t="shared" si="5"/>
        <v>552.36325770151484</v>
      </c>
      <c r="F124" s="5">
        <f t="shared" si="6"/>
        <v>-70.681765413061328</v>
      </c>
      <c r="G124" s="4">
        <f t="shared" si="9"/>
        <v>45.506033607292331</v>
      </c>
      <c r="H124" s="5">
        <f t="shared" si="7"/>
        <v>-1.5532394236560005</v>
      </c>
      <c r="I124" s="4" t="str">
        <f t="shared" si="8"/>
        <v>Neutral</v>
      </c>
      <c r="N124" s="4">
        <v>2</v>
      </c>
      <c r="O124" s="4">
        <v>-2</v>
      </c>
    </row>
    <row r="125" spans="1:15" x14ac:dyDescent="0.25">
      <c r="A125" s="3">
        <v>45915</v>
      </c>
      <c r="B125" s="4">
        <v>115259.04</v>
      </c>
      <c r="C125" s="4">
        <v>234.44</v>
      </c>
      <c r="D125" s="5">
        <v>491.63555707217193</v>
      </c>
      <c r="E125" s="5">
        <f t="shared" si="5"/>
        <v>548.10604725671089</v>
      </c>
      <c r="F125" s="5">
        <f t="shared" si="6"/>
        <v>-56.47049018453896</v>
      </c>
      <c r="G125" s="4">
        <f t="shared" si="9"/>
        <v>44.99419039605948</v>
      </c>
      <c r="H125" s="5">
        <f t="shared" si="7"/>
        <v>-1.2550618132576634</v>
      </c>
      <c r="I125" s="4" t="str">
        <f t="shared" si="8"/>
        <v>Neutral</v>
      </c>
      <c r="N125" s="4">
        <v>2</v>
      </c>
      <c r="O125" s="4">
        <v>-2</v>
      </c>
    </row>
    <row r="126" spans="1:15" x14ac:dyDescent="0.25">
      <c r="A126" s="3">
        <v>45916</v>
      </c>
      <c r="B126" s="4">
        <v>116860.6</v>
      </c>
      <c r="C126" s="4">
        <v>236.85</v>
      </c>
      <c r="D126" s="5">
        <v>493.39497572303151</v>
      </c>
      <c r="E126" s="5">
        <f t="shared" si="5"/>
        <v>544.07437692994597</v>
      </c>
      <c r="F126" s="5">
        <f t="shared" si="6"/>
        <v>-50.679401206914463</v>
      </c>
      <c r="G126" s="4">
        <f t="shared" si="9"/>
        <v>44.267173990995907</v>
      </c>
      <c r="H126" s="5">
        <f t="shared" si="7"/>
        <v>-1.1448528703734921</v>
      </c>
      <c r="I126" s="4" t="str">
        <f t="shared" si="8"/>
        <v>Neutral</v>
      </c>
      <c r="N126" s="4">
        <v>2</v>
      </c>
      <c r="O126" s="4">
        <v>-2</v>
      </c>
    </row>
    <row r="127" spans="1:15" x14ac:dyDescent="0.25">
      <c r="A127" s="3">
        <v>45917</v>
      </c>
      <c r="B127" s="4">
        <v>116571.74</v>
      </c>
      <c r="C127" s="4">
        <v>244.76</v>
      </c>
      <c r="D127" s="5">
        <v>476.26957019120778</v>
      </c>
      <c r="E127" s="5">
        <f t="shared" si="5"/>
        <v>538.69431685993527</v>
      </c>
      <c r="F127" s="5">
        <f t="shared" si="6"/>
        <v>-62.424746668727494</v>
      </c>
      <c r="G127" s="4">
        <f t="shared" si="9"/>
        <v>42.262170655440485</v>
      </c>
      <c r="H127" s="5">
        <f t="shared" si="7"/>
        <v>-1.4770833040657234</v>
      </c>
      <c r="I127" s="4" t="str">
        <f t="shared" si="8"/>
        <v>Neutral</v>
      </c>
      <c r="N127" s="4">
        <v>2</v>
      </c>
      <c r="O127" s="4">
        <v>-2</v>
      </c>
    </row>
    <row r="128" spans="1:15" x14ac:dyDescent="0.25">
      <c r="A128" s="3">
        <v>45918</v>
      </c>
      <c r="B128" s="4">
        <v>116906.28</v>
      </c>
      <c r="C128" s="4">
        <v>247.48</v>
      </c>
      <c r="D128" s="5">
        <v>472.38677872959431</v>
      </c>
      <c r="E128" s="5">
        <f t="shared" si="5"/>
        <v>533.04510591519329</v>
      </c>
      <c r="F128" s="5">
        <f t="shared" si="6"/>
        <v>-60.658327185598978</v>
      </c>
      <c r="G128" s="4">
        <f t="shared" si="9"/>
        <v>39.213000921557303</v>
      </c>
      <c r="H128" s="5">
        <f t="shared" si="7"/>
        <v>-1.5468932690701602</v>
      </c>
      <c r="I128" s="4" t="str">
        <f t="shared" si="8"/>
        <v>Neutral</v>
      </c>
      <c r="N128" s="4">
        <v>2</v>
      </c>
      <c r="O128" s="4">
        <v>-2</v>
      </c>
    </row>
    <row r="129" spans="1:15" x14ac:dyDescent="0.25">
      <c r="A129" s="3">
        <v>45919</v>
      </c>
      <c r="B129" s="4">
        <v>115623.64</v>
      </c>
      <c r="C129" s="4">
        <v>238.47</v>
      </c>
      <c r="D129" s="5">
        <v>484.85612446009981</v>
      </c>
      <c r="E129" s="5">
        <f t="shared" si="5"/>
        <v>528.84370076740322</v>
      </c>
      <c r="F129" s="5">
        <f t="shared" si="6"/>
        <v>-43.987576307303414</v>
      </c>
      <c r="G129" s="4">
        <f t="shared" si="9"/>
        <v>37.289006899655135</v>
      </c>
      <c r="H129" s="5">
        <f t="shared" si="7"/>
        <v>-1.1796392546917154</v>
      </c>
      <c r="I129" s="4" t="str">
        <f t="shared" si="8"/>
        <v>Neutral</v>
      </c>
      <c r="N129" s="4">
        <v>2</v>
      </c>
      <c r="O129" s="4">
        <v>-2</v>
      </c>
    </row>
    <row r="130" spans="1:15" x14ac:dyDescent="0.25">
      <c r="A130" s="3">
        <v>45920</v>
      </c>
      <c r="B130" s="4">
        <v>115814.94</v>
      </c>
      <c r="C130" s="4">
        <v>239.78</v>
      </c>
      <c r="D130" s="5">
        <v>483.00500458753856</v>
      </c>
      <c r="E130" s="5">
        <f t="shared" si="5"/>
        <v>524.16017909272227</v>
      </c>
      <c r="F130" s="5">
        <f t="shared" si="6"/>
        <v>-41.155174505183709</v>
      </c>
      <c r="G130" s="4">
        <f t="shared" si="9"/>
        <v>33.633380201387695</v>
      </c>
      <c r="H130" s="5">
        <f t="shared" si="7"/>
        <v>-1.2236407479342701</v>
      </c>
      <c r="I130" s="4" t="str">
        <f t="shared" si="8"/>
        <v>Neutral</v>
      </c>
      <c r="N130" s="4">
        <v>2</v>
      </c>
      <c r="O130" s="4">
        <v>-2</v>
      </c>
    </row>
    <row r="131" spans="1:15" x14ac:dyDescent="0.25">
      <c r="A131" s="3">
        <v>45921</v>
      </c>
      <c r="B131" s="4">
        <v>115459.7</v>
      </c>
      <c r="C131" s="4">
        <v>236.19</v>
      </c>
      <c r="D131" s="5">
        <v>488.84245734366397</v>
      </c>
      <c r="E131" s="5">
        <f t="shared" si="5"/>
        <v>521.04127455269338</v>
      </c>
      <c r="F131" s="5">
        <f t="shared" si="6"/>
        <v>-32.198817209029414</v>
      </c>
      <c r="G131" s="4">
        <f t="shared" si="9"/>
        <v>32.359747169333694</v>
      </c>
      <c r="H131" s="5">
        <f t="shared" si="7"/>
        <v>-0.99502684741440783</v>
      </c>
      <c r="I131" s="4" t="str">
        <f t="shared" si="8"/>
        <v>Neutral</v>
      </c>
      <c r="N131" s="4">
        <v>2</v>
      </c>
      <c r="O131" s="4">
        <v>-2</v>
      </c>
    </row>
    <row r="132" spans="1:15" x14ac:dyDescent="0.25">
      <c r="A132" s="3">
        <v>45922</v>
      </c>
      <c r="B132" s="4">
        <v>112805.24</v>
      </c>
      <c r="C132" s="4">
        <v>220.75</v>
      </c>
      <c r="D132" s="5">
        <v>511.00901472253685</v>
      </c>
      <c r="E132" s="5">
        <f t="shared" si="5"/>
        <v>519.21160444079885</v>
      </c>
      <c r="F132" s="5">
        <f t="shared" si="6"/>
        <v>-8.2025897182620042</v>
      </c>
      <c r="G132" s="4">
        <f t="shared" si="9"/>
        <v>31.269370933604815</v>
      </c>
      <c r="H132" s="5">
        <f t="shared" si="7"/>
        <v>-0.26232026655345281</v>
      </c>
      <c r="I132" s="4" t="str">
        <f t="shared" si="8"/>
        <v>Neutral</v>
      </c>
      <c r="N132" s="4">
        <v>2</v>
      </c>
      <c r="O132" s="4">
        <v>-2</v>
      </c>
    </row>
    <row r="133" spans="1:15" x14ac:dyDescent="0.25">
      <c r="A133" s="3">
        <v>45923</v>
      </c>
      <c r="B133" s="4">
        <v>111917.91</v>
      </c>
      <c r="C133" s="4">
        <v>213.5</v>
      </c>
      <c r="D133" s="5">
        <v>524.20566744730684</v>
      </c>
      <c r="E133" s="5">
        <f t="shared" si="5"/>
        <v>518.31956292782706</v>
      </c>
      <c r="F133" s="5">
        <f t="shared" si="6"/>
        <v>5.8861045194797725</v>
      </c>
      <c r="G133" s="4">
        <f t="shared" si="9"/>
        <v>30.708923846840971</v>
      </c>
      <c r="H133" s="5">
        <f t="shared" si="7"/>
        <v>0.19167407327057071</v>
      </c>
      <c r="I133" s="4" t="str">
        <f t="shared" si="8"/>
        <v>Neutral</v>
      </c>
      <c r="N133" s="4">
        <v>2</v>
      </c>
      <c r="O133" s="4">
        <v>-2</v>
      </c>
    </row>
    <row r="134" spans="1:15" x14ac:dyDescent="0.25">
      <c r="A134" s="3">
        <v>45924</v>
      </c>
      <c r="B134" s="4">
        <v>113223.27</v>
      </c>
      <c r="C134" s="4">
        <v>211.65</v>
      </c>
      <c r="D134" s="5">
        <v>534.9552090715805</v>
      </c>
      <c r="E134" s="5">
        <f t="shared" si="5"/>
        <v>516.50806793954951</v>
      </c>
      <c r="F134" s="5">
        <f t="shared" si="6"/>
        <v>18.447141132030993</v>
      </c>
      <c r="G134" s="4">
        <f t="shared" si="9"/>
        <v>27.846977566481428</v>
      </c>
      <c r="H134" s="5">
        <f t="shared" si="7"/>
        <v>0.66244679832813391</v>
      </c>
      <c r="I134" s="4" t="str">
        <f t="shared" si="8"/>
        <v>Neutral</v>
      </c>
      <c r="N134" s="4">
        <v>2</v>
      </c>
      <c r="O134" s="4">
        <v>-2</v>
      </c>
    </row>
    <row r="135" spans="1:15" x14ac:dyDescent="0.25">
      <c r="A135" s="3">
        <v>45925</v>
      </c>
      <c r="B135" s="4">
        <v>108906.81</v>
      </c>
      <c r="C135" s="4">
        <v>191.87</v>
      </c>
      <c r="D135" s="5">
        <v>567.60728618335327</v>
      </c>
      <c r="E135" s="5">
        <f t="shared" si="5"/>
        <v>516.39895323285555</v>
      </c>
      <c r="F135" s="5">
        <f t="shared" si="6"/>
        <v>51.20833295049772</v>
      </c>
      <c r="G135" s="4">
        <f t="shared" si="9"/>
        <v>27.632163578927493</v>
      </c>
      <c r="H135" s="5">
        <f t="shared" si="7"/>
        <v>1.8532147439062499</v>
      </c>
      <c r="I135" s="4" t="str">
        <f t="shared" si="8"/>
        <v>Neutral</v>
      </c>
      <c r="N135" s="4">
        <v>2</v>
      </c>
      <c r="O135" s="4">
        <v>-2</v>
      </c>
    </row>
    <row r="136" spans="1:15" x14ac:dyDescent="0.25">
      <c r="A136" s="3">
        <v>45926</v>
      </c>
      <c r="B136" s="4">
        <v>109725.04</v>
      </c>
      <c r="C136" s="4">
        <v>204.73</v>
      </c>
      <c r="D136" s="5">
        <v>535.94998290431295</v>
      </c>
      <c r="E136" s="5">
        <f t="shared" si="5"/>
        <v>515.93031345892098</v>
      </c>
      <c r="F136" s="5">
        <f t="shared" si="6"/>
        <v>20.019669445391969</v>
      </c>
      <c r="G136" s="4">
        <f t="shared" si="9"/>
        <v>27.157627009563758</v>
      </c>
      <c r="H136" s="5">
        <f t="shared" si="7"/>
        <v>0.73716563815910341</v>
      </c>
      <c r="I136" s="4" t="str">
        <f t="shared" si="8"/>
        <v>Neutral</v>
      </c>
      <c r="N136" s="4">
        <v>2</v>
      </c>
      <c r="O136" s="4">
        <v>-2</v>
      </c>
    </row>
    <row r="137" spans="1:15" x14ac:dyDescent="0.25">
      <c r="A137" s="3">
        <v>45927</v>
      </c>
      <c r="B137" s="4">
        <v>109558.06</v>
      </c>
      <c r="C137" s="4">
        <v>203.3</v>
      </c>
      <c r="D137" s="5">
        <v>538.89847515986219</v>
      </c>
      <c r="E137" s="5">
        <f t="shared" si="5"/>
        <v>516.37327383539821</v>
      </c>
      <c r="F137" s="5">
        <f t="shared" si="6"/>
        <v>22.525201324463978</v>
      </c>
      <c r="G137" s="4">
        <f t="shared" si="9"/>
        <v>27.42797756740212</v>
      </c>
      <c r="H137" s="5">
        <f t="shared" si="7"/>
        <v>0.8212490793063415</v>
      </c>
      <c r="I137" s="4" t="str">
        <f t="shared" si="8"/>
        <v>Neutral</v>
      </c>
      <c r="N137" s="4">
        <v>2</v>
      </c>
      <c r="O137" s="4">
        <v>-2</v>
      </c>
    </row>
    <row r="138" spans="1:15" x14ac:dyDescent="0.25">
      <c r="A138" s="3">
        <v>45928</v>
      </c>
      <c r="B138" s="4">
        <v>112083.01</v>
      </c>
      <c r="C138" s="4">
        <v>210.69</v>
      </c>
      <c r="D138" s="5">
        <v>531.98068251934114</v>
      </c>
      <c r="E138" s="5">
        <f t="shared" si="5"/>
        <v>516.52085521299773</v>
      </c>
      <c r="F138" s="5">
        <f t="shared" si="6"/>
        <v>15.459827306343414</v>
      </c>
      <c r="G138" s="4">
        <f t="shared" si="9"/>
        <v>27.502019222141634</v>
      </c>
      <c r="H138" s="5">
        <f t="shared" si="7"/>
        <v>0.56213426299610914</v>
      </c>
      <c r="I138" s="4" t="str">
        <f t="shared" si="8"/>
        <v>Neutral</v>
      </c>
      <c r="N138" s="4">
        <v>2</v>
      </c>
      <c r="O138" s="4">
        <v>-2</v>
      </c>
    </row>
    <row r="139" spans="1:15" x14ac:dyDescent="0.25">
      <c r="A139" s="3">
        <v>45929</v>
      </c>
      <c r="B139" s="4">
        <v>114332.5</v>
      </c>
      <c r="C139" s="4">
        <v>212.87</v>
      </c>
      <c r="D139" s="5">
        <v>537.10010804716489</v>
      </c>
      <c r="E139" s="5">
        <f t="shared" si="5"/>
        <v>516.58170500760514</v>
      </c>
      <c r="F139" s="5">
        <f t="shared" si="6"/>
        <v>20.518403039559757</v>
      </c>
      <c r="G139" s="4">
        <f t="shared" si="9"/>
        <v>27.546926649631928</v>
      </c>
      <c r="H139" s="5">
        <f t="shared" si="7"/>
        <v>0.74485271262861252</v>
      </c>
      <c r="I139" s="4" t="str">
        <f t="shared" si="8"/>
        <v>Neutral</v>
      </c>
      <c r="N139" s="4">
        <v>2</v>
      </c>
      <c r="O139" s="4">
        <v>-2</v>
      </c>
    </row>
    <row r="140" spans="1:15" x14ac:dyDescent="0.25">
      <c r="A140" s="3">
        <v>45930</v>
      </c>
      <c r="B140" s="4">
        <v>114149.05</v>
      </c>
      <c r="C140" s="4">
        <v>208.54</v>
      </c>
      <c r="D140" s="5">
        <v>547.37244653303924</v>
      </c>
      <c r="E140" s="5">
        <f t="shared" si="5"/>
        <v>516.7933065999531</v>
      </c>
      <c r="F140" s="5">
        <f t="shared" si="6"/>
        <v>30.57913993308614</v>
      </c>
      <c r="G140" s="4">
        <f t="shared" si="9"/>
        <v>27.764678066549568</v>
      </c>
      <c r="H140" s="5">
        <f t="shared" si="7"/>
        <v>1.1013684314938048</v>
      </c>
      <c r="I140" s="4" t="str">
        <f t="shared" si="8"/>
        <v>Neutral</v>
      </c>
      <c r="N140" s="4">
        <v>2</v>
      </c>
      <c r="O140" s="4">
        <v>-2</v>
      </c>
    </row>
    <row r="141" spans="1:15" x14ac:dyDescent="0.25">
      <c r="A141" s="3">
        <v>45931</v>
      </c>
      <c r="B141" s="4">
        <v>118482.95</v>
      </c>
      <c r="C141" s="4">
        <v>221.71</v>
      </c>
      <c r="D141" s="5">
        <v>534.40507870641829</v>
      </c>
      <c r="E141" s="5">
        <f t="shared" si="5"/>
        <v>516.18948649522986</v>
      </c>
      <c r="F141" s="5">
        <f t="shared" si="6"/>
        <v>18.215592211188437</v>
      </c>
      <c r="G141" s="4">
        <f t="shared" si="9"/>
        <v>27.151113371993418</v>
      </c>
      <c r="H141" s="5">
        <f t="shared" si="7"/>
        <v>0.67089669442351341</v>
      </c>
      <c r="I141" s="4" t="str">
        <f t="shared" si="8"/>
        <v>Neutral</v>
      </c>
      <c r="N141" s="4">
        <v>2</v>
      </c>
      <c r="O141" s="4">
        <v>-2</v>
      </c>
    </row>
    <row r="142" spans="1:15" x14ac:dyDescent="0.25">
      <c r="A142" s="3">
        <v>45932</v>
      </c>
      <c r="B142" s="4">
        <v>120559.88</v>
      </c>
      <c r="C142" s="4">
        <v>234.39</v>
      </c>
      <c r="D142" s="5">
        <v>514.35590255556986</v>
      </c>
      <c r="E142" s="5">
        <f t="shared" si="5"/>
        <v>515.61949555007186</v>
      </c>
      <c r="F142" s="5">
        <f t="shared" si="6"/>
        <v>-1.2635929945020052</v>
      </c>
      <c r="G142" s="4">
        <f t="shared" si="9"/>
        <v>26.998637218009723</v>
      </c>
      <c r="H142" s="5">
        <f t="shared" si="7"/>
        <v>-4.6802102798696531E-2</v>
      </c>
      <c r="I142" s="4" t="str">
        <f t="shared" si="8"/>
        <v>Neutral</v>
      </c>
      <c r="N142" s="4">
        <v>2</v>
      </c>
      <c r="O142" s="4">
        <v>-2</v>
      </c>
    </row>
    <row r="143" spans="1:15" x14ac:dyDescent="0.25">
      <c r="A143" s="3">
        <v>45933</v>
      </c>
      <c r="B143" s="4">
        <v>122288.94</v>
      </c>
      <c r="C143" s="4">
        <v>232.74</v>
      </c>
      <c r="D143" s="5">
        <v>525.4315545243619</v>
      </c>
      <c r="E143" s="5">
        <f t="shared" si="5"/>
        <v>515.4012505890654</v>
      </c>
      <c r="F143" s="5">
        <f t="shared" si="6"/>
        <v>10.030303935296502</v>
      </c>
      <c r="G143" s="4">
        <f t="shared" si="9"/>
        <v>26.888071505314759</v>
      </c>
      <c r="H143" s="5">
        <f t="shared" si="7"/>
        <v>0.37303917215907018</v>
      </c>
      <c r="I143" s="4" t="str">
        <f t="shared" si="8"/>
        <v>Neutral</v>
      </c>
      <c r="N143" s="4">
        <v>2</v>
      </c>
      <c r="O143" s="4">
        <v>-2</v>
      </c>
    </row>
    <row r="144" spans="1:15" x14ac:dyDescent="0.25">
      <c r="A144" s="3">
        <v>45934</v>
      </c>
      <c r="B144" s="4">
        <v>122375</v>
      </c>
      <c r="C144" s="4">
        <v>227.95</v>
      </c>
      <c r="D144" s="5">
        <v>536.85018644439572</v>
      </c>
      <c r="E144" s="5">
        <f t="shared" si="5"/>
        <v>515.08443330836531</v>
      </c>
      <c r="F144" s="5">
        <f t="shared" si="6"/>
        <v>21.765753136030412</v>
      </c>
      <c r="G144" s="4">
        <f t="shared" si="9"/>
        <v>26.564828063321496</v>
      </c>
      <c r="H144" s="5">
        <f t="shared" si="7"/>
        <v>0.81934477739318601</v>
      </c>
      <c r="I144" s="4" t="str">
        <f t="shared" si="8"/>
        <v>Neutral</v>
      </c>
      <c r="N144" s="4">
        <v>2</v>
      </c>
      <c r="O144" s="4">
        <v>-2</v>
      </c>
    </row>
    <row r="145" spans="1:15" x14ac:dyDescent="0.25">
      <c r="A145" s="3">
        <v>45935</v>
      </c>
      <c r="B145" s="4">
        <v>123294.13</v>
      </c>
      <c r="C145" s="4">
        <v>228.53</v>
      </c>
      <c r="D145" s="5">
        <v>539.50960486588201</v>
      </c>
      <c r="E145" s="5">
        <f t="shared" si="5"/>
        <v>514.96099634735447</v>
      </c>
      <c r="F145" s="5">
        <f t="shared" si="6"/>
        <v>24.548608518527544</v>
      </c>
      <c r="G145" s="4">
        <f t="shared" si="9"/>
        <v>26.437919709568359</v>
      </c>
      <c r="H145" s="5">
        <f t="shared" si="7"/>
        <v>0.92853782703799348</v>
      </c>
      <c r="I145" s="4" t="str">
        <f t="shared" si="8"/>
        <v>Neutral</v>
      </c>
      <c r="N145" s="4">
        <v>2</v>
      </c>
      <c r="O145" s="4">
        <v>-2</v>
      </c>
    </row>
    <row r="146" spans="1:15" x14ac:dyDescent="0.25">
      <c r="A146" s="3">
        <v>45936</v>
      </c>
      <c r="B146" s="4">
        <v>124797.86</v>
      </c>
      <c r="C146" s="4">
        <v>232.54</v>
      </c>
      <c r="D146" s="5">
        <v>536.67265846736052</v>
      </c>
      <c r="E146" s="5">
        <f t="shared" si="5"/>
        <v>514.52179098919498</v>
      </c>
      <c r="F146" s="5">
        <f t="shared" si="6"/>
        <v>22.150867478165537</v>
      </c>
      <c r="G146" s="4">
        <f t="shared" si="9"/>
        <v>25.94316959199228</v>
      </c>
      <c r="H146" s="5">
        <f t="shared" si="7"/>
        <v>0.85382271428402146</v>
      </c>
      <c r="I146" s="4" t="str">
        <f t="shared" si="8"/>
        <v>Neutral</v>
      </c>
      <c r="N146" s="4">
        <v>2</v>
      </c>
      <c r="O146" s="4">
        <v>-2</v>
      </c>
    </row>
    <row r="147" spans="1:15" x14ac:dyDescent="0.25">
      <c r="A147" s="3">
        <v>45937</v>
      </c>
      <c r="B147" s="4">
        <v>121329.51</v>
      </c>
      <c r="C147" s="4">
        <v>220.84</v>
      </c>
      <c r="D147" s="5">
        <v>549.40006339431261</v>
      </c>
      <c r="E147" s="5">
        <f t="shared" si="5"/>
        <v>514.86273710079126</v>
      </c>
      <c r="F147" s="5">
        <f t="shared" si="6"/>
        <v>34.537326293521346</v>
      </c>
      <c r="G147" s="4">
        <f t="shared" si="9"/>
        <v>26.342428692908907</v>
      </c>
      <c r="H147" s="5">
        <f t="shared" si="7"/>
        <v>1.3110911942154526</v>
      </c>
      <c r="I147" s="4" t="str">
        <f t="shared" si="8"/>
        <v>Neutral</v>
      </c>
      <c r="N147" s="4">
        <v>2</v>
      </c>
      <c r="O147" s="4">
        <v>-2</v>
      </c>
    </row>
    <row r="148" spans="1:15" x14ac:dyDescent="0.25">
      <c r="A148" s="3">
        <v>45938</v>
      </c>
      <c r="B148" s="4">
        <v>123455.27</v>
      </c>
      <c r="C148" s="4">
        <v>229.11</v>
      </c>
      <c r="D148" s="5">
        <v>538.84714765833007</v>
      </c>
      <c r="E148" s="5">
        <f t="shared" si="5"/>
        <v>515.41004297471659</v>
      </c>
      <c r="F148" s="5">
        <f t="shared" si="6"/>
        <v>23.437104683613484</v>
      </c>
      <c r="G148" s="4">
        <f t="shared" si="9"/>
        <v>26.673515084143261</v>
      </c>
      <c r="H148" s="5">
        <f t="shared" si="7"/>
        <v>0.87866577050979899</v>
      </c>
      <c r="I148" s="4" t="str">
        <f t="shared" si="8"/>
        <v>Neutral</v>
      </c>
      <c r="N148" s="4">
        <v>2</v>
      </c>
      <c r="O148" s="4">
        <v>-2</v>
      </c>
    </row>
    <row r="149" spans="1:15" x14ac:dyDescent="0.25">
      <c r="A149" s="3">
        <v>45939</v>
      </c>
      <c r="B149" s="4">
        <v>121658.66</v>
      </c>
      <c r="C149" s="4">
        <v>220.75</v>
      </c>
      <c r="D149" s="5">
        <v>551.11510758776899</v>
      </c>
      <c r="E149" s="5">
        <f t="shared" si="5"/>
        <v>516.65827216670846</v>
      </c>
      <c r="F149" s="5">
        <f t="shared" si="6"/>
        <v>34.456835421060532</v>
      </c>
      <c r="G149" s="4">
        <f t="shared" si="9"/>
        <v>27.453968528439457</v>
      </c>
      <c r="H149" s="5">
        <f t="shared" si="7"/>
        <v>1.2550766708050545</v>
      </c>
      <c r="I149" s="4" t="str">
        <f t="shared" si="8"/>
        <v>Neutral</v>
      </c>
      <c r="N149" s="4">
        <v>2</v>
      </c>
      <c r="O149" s="4">
        <v>-2</v>
      </c>
    </row>
    <row r="150" spans="1:15" x14ac:dyDescent="0.25">
      <c r="A150" s="3">
        <v>45940</v>
      </c>
      <c r="B150" s="4">
        <v>113189.88</v>
      </c>
      <c r="C150" s="4">
        <v>188.66</v>
      </c>
      <c r="D150" s="5">
        <v>599.96756069119056</v>
      </c>
      <c r="E150" s="5">
        <f t="shared" si="5"/>
        <v>519.69955519058124</v>
      </c>
      <c r="F150" s="5">
        <f t="shared" si="6"/>
        <v>80.26800550060932</v>
      </c>
      <c r="G150" s="4">
        <f t="shared" si="9"/>
        <v>31.325859365692651</v>
      </c>
      <c r="H150" s="5">
        <f t="shared" si="7"/>
        <v>2.5623560574531905</v>
      </c>
      <c r="I150" s="4" t="str">
        <f t="shared" si="8"/>
        <v>BTC rich vs SOL</v>
      </c>
      <c r="N150" s="4">
        <v>2</v>
      </c>
      <c r="O150" s="4">
        <v>-2</v>
      </c>
    </row>
    <row r="151" spans="1:15" x14ac:dyDescent="0.25">
      <c r="A151" s="3">
        <v>45941</v>
      </c>
      <c r="B151" s="4">
        <v>110519.44</v>
      </c>
      <c r="C151" s="4">
        <v>178.61</v>
      </c>
      <c r="D151" s="5">
        <v>618.77520855495209</v>
      </c>
      <c r="E151" s="5">
        <f t="shared" si="5"/>
        <v>523.50562749160258</v>
      </c>
      <c r="F151" s="5">
        <f t="shared" si="6"/>
        <v>95.269581063349506</v>
      </c>
      <c r="G151" s="4">
        <f t="shared" si="9"/>
        <v>36.013008745480249</v>
      </c>
      <c r="H151" s="5">
        <f t="shared" si="7"/>
        <v>2.6454213180759618</v>
      </c>
      <c r="I151" s="4" t="str">
        <f t="shared" si="8"/>
        <v>BTC rich vs SOL</v>
      </c>
      <c r="N151" s="4">
        <v>2</v>
      </c>
      <c r="O151" s="4">
        <v>-2</v>
      </c>
    </row>
    <row r="152" spans="1:15" x14ac:dyDescent="0.25">
      <c r="A152" s="3">
        <v>45942</v>
      </c>
      <c r="B152" s="4">
        <v>115252.21</v>
      </c>
      <c r="C152" s="4">
        <v>197.97</v>
      </c>
      <c r="D152" s="5">
        <v>582.17007627418297</v>
      </c>
      <c r="E152" s="5">
        <f t="shared" si="5"/>
        <v>526.88848699765424</v>
      </c>
      <c r="F152" s="5">
        <f t="shared" si="6"/>
        <v>55.281589276528734</v>
      </c>
      <c r="G152" s="4">
        <f t="shared" si="9"/>
        <v>36.613407057787803</v>
      </c>
      <c r="H152" s="5">
        <f t="shared" si="7"/>
        <v>1.5098728503817331</v>
      </c>
      <c r="I152" s="4" t="str">
        <f t="shared" si="8"/>
        <v>Neutral</v>
      </c>
      <c r="N152" s="4">
        <v>2</v>
      </c>
      <c r="O152" s="4">
        <v>-2</v>
      </c>
    </row>
    <row r="153" spans="1:15" x14ac:dyDescent="0.25">
      <c r="A153" s="3">
        <v>45943</v>
      </c>
      <c r="B153" s="4">
        <v>115290.6</v>
      </c>
      <c r="C153" s="4">
        <v>208.47</v>
      </c>
      <c r="D153" s="5">
        <v>553.0320909483379</v>
      </c>
      <c r="E153" s="5">
        <f t="shared" si="5"/>
        <v>529.38943578857754</v>
      </c>
      <c r="F153" s="5">
        <f t="shared" si="6"/>
        <v>23.642655159760352</v>
      </c>
      <c r="G153" s="4">
        <f t="shared" si="9"/>
        <v>35.710435971742726</v>
      </c>
      <c r="H153" s="5">
        <f t="shared" si="7"/>
        <v>0.66206571038417239</v>
      </c>
      <c r="I153" s="4" t="str">
        <f t="shared" si="8"/>
        <v>Neutral</v>
      </c>
      <c r="N153" s="4">
        <v>2</v>
      </c>
      <c r="O153" s="4">
        <v>-2</v>
      </c>
    </row>
    <row r="154" spans="1:15" x14ac:dyDescent="0.25">
      <c r="A154" s="3">
        <v>45944</v>
      </c>
      <c r="B154" s="4">
        <v>113055.15</v>
      </c>
      <c r="C154" s="4">
        <v>202.19</v>
      </c>
      <c r="D154" s="5">
        <v>559.15302438300603</v>
      </c>
      <c r="E154" s="5">
        <f t="shared" si="5"/>
        <v>531.97182019172931</v>
      </c>
      <c r="F154" s="5">
        <f t="shared" si="6"/>
        <v>27.18120419127672</v>
      </c>
      <c r="G154" s="4">
        <f t="shared" si="9"/>
        <v>34.934215980159401</v>
      </c>
      <c r="H154" s="5">
        <f t="shared" si="7"/>
        <v>0.77806824709373923</v>
      </c>
      <c r="I154" s="4" t="str">
        <f t="shared" si="8"/>
        <v>Neutral</v>
      </c>
      <c r="N154" s="4">
        <v>2</v>
      </c>
      <c r="O154" s="4">
        <v>-2</v>
      </c>
    </row>
    <row r="155" spans="1:15" x14ac:dyDescent="0.25">
      <c r="A155" s="3">
        <v>45945</v>
      </c>
      <c r="B155" s="4">
        <v>111188.73</v>
      </c>
      <c r="C155" s="4">
        <v>194.1</v>
      </c>
      <c r="D155" s="5">
        <v>572.84250386398764</v>
      </c>
      <c r="E155" s="5">
        <f t="shared" si="5"/>
        <v>534.67871841812314</v>
      </c>
      <c r="F155" s="5">
        <f t="shared" si="6"/>
        <v>38.163785445864505</v>
      </c>
      <c r="G155" s="4">
        <f t="shared" si="9"/>
        <v>34.84703700828679</v>
      </c>
      <c r="H155" s="5">
        <f t="shared" si="7"/>
        <v>1.0951802139386766</v>
      </c>
      <c r="I155" s="4" t="str">
        <f t="shared" si="8"/>
        <v>Neutral</v>
      </c>
      <c r="N155" s="4">
        <v>2</v>
      </c>
      <c r="O155" s="4">
        <v>-2</v>
      </c>
    </row>
    <row r="156" spans="1:15" x14ac:dyDescent="0.25">
      <c r="A156" s="3">
        <v>45946</v>
      </c>
      <c r="B156" s="4">
        <v>107998.02</v>
      </c>
      <c r="C156" s="4">
        <v>184.89</v>
      </c>
      <c r="D156" s="5">
        <v>584.12039591108237</v>
      </c>
      <c r="E156" s="5">
        <f t="shared" si="5"/>
        <v>537.70289909105816</v>
      </c>
      <c r="F156" s="5">
        <f t="shared" si="6"/>
        <v>46.417496820024212</v>
      </c>
      <c r="G156" s="4">
        <f t="shared" si="9"/>
        <v>35.076726570219833</v>
      </c>
      <c r="H156" s="5">
        <f t="shared" si="7"/>
        <v>1.3233132438142818</v>
      </c>
      <c r="I156" s="4" t="str">
        <f t="shared" si="8"/>
        <v>Neutral</v>
      </c>
      <c r="N156" s="4">
        <v>2</v>
      </c>
      <c r="O156" s="4">
        <v>-2</v>
      </c>
    </row>
    <row r="157" spans="1:15" x14ac:dyDescent="0.25">
      <c r="A157" s="3">
        <v>45947</v>
      </c>
      <c r="B157" s="4">
        <v>106721.75</v>
      </c>
      <c r="C157" s="4">
        <v>181.97</v>
      </c>
      <c r="D157" s="5">
        <v>586.4799142715832</v>
      </c>
      <c r="E157" s="5">
        <f t="shared" si="5"/>
        <v>541.37657722707058</v>
      </c>
      <c r="F157" s="5">
        <f t="shared" si="6"/>
        <v>45.103337044512614</v>
      </c>
      <c r="G157" s="4">
        <f t="shared" si="9"/>
        <v>34.180651735261854</v>
      </c>
      <c r="H157" s="5">
        <f t="shared" si="7"/>
        <v>1.3195575495122163</v>
      </c>
      <c r="I157" s="4" t="str">
        <f t="shared" si="8"/>
        <v>Neutral</v>
      </c>
      <c r="N157" s="4">
        <v>2</v>
      </c>
      <c r="O157" s="4">
        <v>-2</v>
      </c>
    </row>
    <row r="158" spans="1:15" x14ac:dyDescent="0.25">
      <c r="A158" s="3">
        <v>45948</v>
      </c>
      <c r="B158" s="4">
        <v>106959.99</v>
      </c>
      <c r="C158" s="4">
        <v>187.64</v>
      </c>
      <c r="D158" s="5">
        <v>570.02765934768718</v>
      </c>
      <c r="E158" s="5">
        <f t="shared" si="5"/>
        <v>544.63127324767368</v>
      </c>
      <c r="F158" s="5">
        <f t="shared" si="6"/>
        <v>25.396386100013501</v>
      </c>
      <c r="G158" s="4">
        <f t="shared" si="9"/>
        <v>31.961556898947215</v>
      </c>
      <c r="H158" s="5">
        <f t="shared" si="7"/>
        <v>0.79459164584219721</v>
      </c>
      <c r="I158" s="4" t="str">
        <f t="shared" si="8"/>
        <v>Neutral</v>
      </c>
      <c r="N158" s="4">
        <v>2</v>
      </c>
      <c r="O158" s="4">
        <v>-2</v>
      </c>
    </row>
    <row r="159" spans="1:15" x14ac:dyDescent="0.25">
      <c r="A159" s="3">
        <v>45949</v>
      </c>
      <c r="B159" s="4">
        <v>108455.55</v>
      </c>
      <c r="C159" s="4">
        <v>187.24</v>
      </c>
      <c r="D159" s="5">
        <v>579.23280281991026</v>
      </c>
      <c r="E159" s="5">
        <f t="shared" si="5"/>
        <v>547.77716252633411</v>
      </c>
      <c r="F159" s="5">
        <f t="shared" si="6"/>
        <v>31.455640293576153</v>
      </c>
      <c r="G159" s="4">
        <f t="shared" si="9"/>
        <v>30.485718147609223</v>
      </c>
      <c r="H159" s="5">
        <f t="shared" si="7"/>
        <v>1.0318156240004139</v>
      </c>
      <c r="I159" s="4" t="str">
        <f t="shared" si="8"/>
        <v>Neutral</v>
      </c>
      <c r="N159" s="4">
        <v>2</v>
      </c>
      <c r="O159" s="4">
        <v>-2</v>
      </c>
    </row>
    <row r="160" spans="1:15" x14ac:dyDescent="0.25">
      <c r="A160" s="3">
        <v>45950</v>
      </c>
      <c r="B160" s="4">
        <v>110519.56</v>
      </c>
      <c r="C160" s="4">
        <v>189.5</v>
      </c>
      <c r="D160" s="5">
        <v>583.21667546174137</v>
      </c>
      <c r="E160" s="5">
        <f t="shared" ref="E160:E223" si="10">AVERAGE(D131:D160)</f>
        <v>551.11755155547405</v>
      </c>
      <c r="F160" s="5">
        <f t="shared" ref="F160:F223" si="11">(D160-E160)</f>
        <v>32.099123906267323</v>
      </c>
      <c r="G160" s="4">
        <f t="shared" si="9"/>
        <v>28.574024848573085</v>
      </c>
      <c r="H160" s="5">
        <f t="shared" ref="H160:H223" si="12">(F160/G160)</f>
        <v>1.1233672566736874</v>
      </c>
      <c r="I160" s="4" t="str">
        <f t="shared" ref="I160:I223" si="13">IF(H160&gt;2, "BTC rich vs SOL", IF(H160&lt;-2,"BTC cheap vs SOL","Neutral"))</f>
        <v>Neutral</v>
      </c>
      <c r="N160" s="4">
        <v>2</v>
      </c>
      <c r="O160" s="4">
        <v>-2</v>
      </c>
    </row>
    <row r="161" spans="1:15" x14ac:dyDescent="0.25">
      <c r="A161" s="3">
        <v>45951</v>
      </c>
      <c r="B161" s="4">
        <v>108594.71</v>
      </c>
      <c r="C161" s="4">
        <v>185.39</v>
      </c>
      <c r="D161" s="5">
        <v>585.76357948109398</v>
      </c>
      <c r="E161" s="5">
        <f t="shared" si="10"/>
        <v>554.34825562672199</v>
      </c>
      <c r="F161" s="5">
        <f t="shared" si="11"/>
        <v>31.415323854371991</v>
      </c>
      <c r="G161" s="4">
        <f t="shared" ref="G161:G224" si="14">STDEV(D132:D161)</f>
        <v>26.70839233559693</v>
      </c>
      <c r="H161" s="5">
        <f t="shared" si="12"/>
        <v>1.1762341761208017</v>
      </c>
      <c r="I161" s="4" t="str">
        <f t="shared" si="13"/>
        <v>Neutral</v>
      </c>
      <c r="N161" s="4">
        <v>2</v>
      </c>
      <c r="O161" s="4">
        <v>-2</v>
      </c>
    </row>
    <row r="162" spans="1:15" x14ac:dyDescent="0.25">
      <c r="A162" s="3">
        <v>45952</v>
      </c>
      <c r="B162" s="4">
        <v>107586.53</v>
      </c>
      <c r="C162" s="4">
        <v>180.01</v>
      </c>
      <c r="D162" s="5">
        <v>597.66974056996833</v>
      </c>
      <c r="E162" s="5">
        <f t="shared" si="10"/>
        <v>557.23694648830292</v>
      </c>
      <c r="F162" s="5">
        <f t="shared" si="11"/>
        <v>40.432794081665406</v>
      </c>
      <c r="G162" s="4">
        <f t="shared" si="14"/>
        <v>26.545298708470938</v>
      </c>
      <c r="H162" s="5">
        <f t="shared" si="12"/>
        <v>1.5231621435385392</v>
      </c>
      <c r="I162" s="4" t="str">
        <f t="shared" si="13"/>
        <v>Neutral</v>
      </c>
      <c r="N162" s="4">
        <v>2</v>
      </c>
      <c r="O162" s="4">
        <v>-2</v>
      </c>
    </row>
    <row r="163" spans="1:15" x14ac:dyDescent="0.25">
      <c r="A163" s="3">
        <v>45953</v>
      </c>
      <c r="B163" s="4">
        <v>110070.09</v>
      </c>
      <c r="C163" s="4">
        <v>191.13</v>
      </c>
      <c r="D163" s="5">
        <v>575.89122586721078</v>
      </c>
      <c r="E163" s="5">
        <f t="shared" si="10"/>
        <v>558.95979843563305</v>
      </c>
      <c r="F163" s="5">
        <f t="shared" si="11"/>
        <v>16.931427431577731</v>
      </c>
      <c r="G163" s="4">
        <f t="shared" si="14"/>
        <v>25.999206752638031</v>
      </c>
      <c r="H163" s="5">
        <f t="shared" si="12"/>
        <v>0.65122861603690163</v>
      </c>
      <c r="I163" s="4" t="str">
        <f t="shared" si="13"/>
        <v>Neutral</v>
      </c>
      <c r="N163" s="4">
        <v>2</v>
      </c>
      <c r="O163" s="4">
        <v>-2</v>
      </c>
    </row>
    <row r="164" spans="1:15" x14ac:dyDescent="0.25">
      <c r="A164" s="3">
        <v>45954</v>
      </c>
      <c r="B164" s="4">
        <v>111030</v>
      </c>
      <c r="C164" s="4">
        <v>193.49</v>
      </c>
      <c r="D164" s="5">
        <v>573.82810481161812</v>
      </c>
      <c r="E164" s="5">
        <f t="shared" si="10"/>
        <v>560.25556162696751</v>
      </c>
      <c r="F164" s="5">
        <f t="shared" si="11"/>
        <v>13.572543184650613</v>
      </c>
      <c r="G164" s="4">
        <f t="shared" si="14"/>
        <v>25.728878151923322</v>
      </c>
      <c r="H164" s="5">
        <f t="shared" si="12"/>
        <v>0.52752176385257665</v>
      </c>
      <c r="I164" s="4" t="str">
        <f t="shared" si="13"/>
        <v>Neutral</v>
      </c>
      <c r="N164" s="4">
        <v>2</v>
      </c>
      <c r="O164" s="4">
        <v>-2</v>
      </c>
    </row>
    <row r="165" spans="1:15" x14ac:dyDescent="0.25">
      <c r="A165" s="3">
        <v>45955</v>
      </c>
      <c r="B165" s="4">
        <v>111683.45</v>
      </c>
      <c r="C165" s="4">
        <v>194.18</v>
      </c>
      <c r="D165" s="5">
        <v>575.15423833556486</v>
      </c>
      <c r="E165" s="5">
        <f t="shared" si="10"/>
        <v>560.50712669870802</v>
      </c>
      <c r="F165" s="5">
        <f t="shared" si="11"/>
        <v>14.647111636856835</v>
      </c>
      <c r="G165" s="4">
        <f t="shared" si="14"/>
        <v>25.839894390927125</v>
      </c>
      <c r="H165" s="5">
        <f t="shared" si="12"/>
        <v>0.56684100233783119</v>
      </c>
      <c r="I165" s="4" t="str">
        <f t="shared" si="13"/>
        <v>Neutral</v>
      </c>
      <c r="N165" s="4">
        <v>2</v>
      </c>
      <c r="O165" s="4">
        <v>-2</v>
      </c>
    </row>
    <row r="166" spans="1:15" x14ac:dyDescent="0.25">
      <c r="A166" s="3">
        <v>45956</v>
      </c>
      <c r="B166" s="4">
        <v>114687.19</v>
      </c>
      <c r="C166" s="4">
        <v>200.09</v>
      </c>
      <c r="D166" s="5">
        <v>573.17801989104908</v>
      </c>
      <c r="E166" s="5">
        <f t="shared" si="10"/>
        <v>561.7480612649324</v>
      </c>
      <c r="F166" s="5">
        <f t="shared" si="11"/>
        <v>11.429958626116672</v>
      </c>
      <c r="G166" s="4">
        <f t="shared" si="14"/>
        <v>25.511731437285562</v>
      </c>
      <c r="H166" s="5">
        <f t="shared" si="12"/>
        <v>0.44802755368503577</v>
      </c>
      <c r="I166" s="4" t="str">
        <f t="shared" si="13"/>
        <v>Neutral</v>
      </c>
      <c r="N166" s="4">
        <v>2</v>
      </c>
      <c r="O166" s="4">
        <v>-2</v>
      </c>
    </row>
    <row r="167" spans="1:15" x14ac:dyDescent="0.25">
      <c r="A167" s="3">
        <v>45957</v>
      </c>
      <c r="B167" s="4">
        <v>114210</v>
      </c>
      <c r="C167" s="4">
        <v>198.69</v>
      </c>
      <c r="D167" s="5">
        <v>574.8150385021894</v>
      </c>
      <c r="E167" s="5">
        <f t="shared" si="10"/>
        <v>562.94528004300992</v>
      </c>
      <c r="F167" s="5">
        <f t="shared" si="11"/>
        <v>11.869758459179479</v>
      </c>
      <c r="G167" s="4">
        <f t="shared" si="14"/>
        <v>25.243809150094783</v>
      </c>
      <c r="H167" s="5">
        <f t="shared" si="12"/>
        <v>0.47020472974598254</v>
      </c>
      <c r="I167" s="4" t="str">
        <f t="shared" si="13"/>
        <v>Neutral</v>
      </c>
      <c r="N167" s="4">
        <v>2</v>
      </c>
      <c r="O167" s="4">
        <v>-2</v>
      </c>
    </row>
    <row r="168" spans="1:15" x14ac:dyDescent="0.25">
      <c r="A168" s="3">
        <v>45958</v>
      </c>
      <c r="B168" s="4">
        <v>112858.98</v>
      </c>
      <c r="C168" s="4">
        <v>194.31</v>
      </c>
      <c r="D168" s="5">
        <v>580.81920642272655</v>
      </c>
      <c r="E168" s="5">
        <f t="shared" si="10"/>
        <v>564.5732308397894</v>
      </c>
      <c r="F168" s="5">
        <f t="shared" si="11"/>
        <v>16.245975582937149</v>
      </c>
      <c r="G168" s="4">
        <f t="shared" si="14"/>
        <v>24.747978908985775</v>
      </c>
      <c r="H168" s="5">
        <f t="shared" si="12"/>
        <v>0.65645666026644212</v>
      </c>
      <c r="I168" s="4" t="str">
        <f t="shared" si="13"/>
        <v>Neutral</v>
      </c>
      <c r="N168" s="4">
        <v>2</v>
      </c>
      <c r="O168" s="4">
        <v>-2</v>
      </c>
    </row>
    <row r="169" spans="1:15" x14ac:dyDescent="0.25">
      <c r="A169" s="3">
        <v>45959</v>
      </c>
      <c r="B169" s="4">
        <v>110145.05</v>
      </c>
      <c r="C169" s="4">
        <v>194.42</v>
      </c>
      <c r="D169" s="5">
        <v>566.53147824297912</v>
      </c>
      <c r="E169" s="5">
        <f t="shared" si="10"/>
        <v>565.55427651298328</v>
      </c>
      <c r="F169" s="5">
        <f t="shared" si="11"/>
        <v>0.97720172999584065</v>
      </c>
      <c r="G169" s="4">
        <f t="shared" si="14"/>
        <v>24.198603608070552</v>
      </c>
      <c r="H169" s="5">
        <f t="shared" si="12"/>
        <v>4.038256693745465E-2</v>
      </c>
      <c r="I169" s="4" t="str">
        <f t="shared" si="13"/>
        <v>Neutral</v>
      </c>
      <c r="N169" s="4">
        <v>2</v>
      </c>
      <c r="O169" s="4">
        <v>-2</v>
      </c>
    </row>
    <row r="170" spans="1:15" x14ac:dyDescent="0.25">
      <c r="A170" s="3">
        <v>45960</v>
      </c>
      <c r="B170" s="4">
        <v>108301.73</v>
      </c>
      <c r="C170" s="4">
        <v>184.78</v>
      </c>
      <c r="D170" s="5">
        <v>586.11175451888732</v>
      </c>
      <c r="E170" s="5">
        <f t="shared" si="10"/>
        <v>566.84558677917812</v>
      </c>
      <c r="F170" s="5">
        <f t="shared" si="11"/>
        <v>19.266167739709203</v>
      </c>
      <c r="G170" s="4">
        <f t="shared" si="14"/>
        <v>24.228514531202091</v>
      </c>
      <c r="H170" s="5">
        <f t="shared" si="12"/>
        <v>0.79518567739255119</v>
      </c>
      <c r="I170" s="4" t="str">
        <f t="shared" si="13"/>
        <v>Neutral</v>
      </c>
      <c r="N170" s="4">
        <v>2</v>
      </c>
      <c r="O170" s="4">
        <v>-2</v>
      </c>
    </row>
    <row r="171" spans="1:15" x14ac:dyDescent="0.25">
      <c r="A171" s="3">
        <v>45961</v>
      </c>
      <c r="B171" s="4">
        <v>109740.02</v>
      </c>
      <c r="C171" s="4">
        <v>187.26</v>
      </c>
      <c r="D171" s="5">
        <v>586.03022535512127</v>
      </c>
      <c r="E171" s="5">
        <f t="shared" si="10"/>
        <v>568.5664250008017</v>
      </c>
      <c r="F171" s="5">
        <f t="shared" si="11"/>
        <v>17.463800354319574</v>
      </c>
      <c r="G171" s="4">
        <f t="shared" si="14"/>
        <v>23.67191835749416</v>
      </c>
      <c r="H171" s="5">
        <f t="shared" si="12"/>
        <v>0.73774335018314252</v>
      </c>
      <c r="I171" s="4" t="str">
        <f t="shared" si="13"/>
        <v>Neutral</v>
      </c>
      <c r="N171" s="4">
        <v>2</v>
      </c>
      <c r="O171" s="4">
        <v>-2</v>
      </c>
    </row>
    <row r="172" spans="1:15" x14ac:dyDescent="0.25">
      <c r="A172" s="3">
        <v>45962</v>
      </c>
      <c r="B172" s="4">
        <v>110000.17</v>
      </c>
      <c r="C172" s="4">
        <v>186.47</v>
      </c>
      <c r="D172" s="5">
        <v>589.90813535689381</v>
      </c>
      <c r="E172" s="5">
        <f t="shared" si="10"/>
        <v>571.08483276084587</v>
      </c>
      <c r="F172" s="5">
        <f t="shared" si="11"/>
        <v>18.823302596047938</v>
      </c>
      <c r="G172" s="4">
        <f t="shared" si="14"/>
        <v>21.637171377018046</v>
      </c>
      <c r="H172" s="5">
        <f t="shared" si="12"/>
        <v>0.86995209623570013</v>
      </c>
      <c r="I172" s="4" t="str">
        <f t="shared" si="13"/>
        <v>Neutral</v>
      </c>
      <c r="N172" s="4">
        <v>2</v>
      </c>
      <c r="O172" s="4">
        <v>-2</v>
      </c>
    </row>
    <row r="173" spans="1:15" x14ac:dyDescent="0.25">
      <c r="A173" s="3">
        <v>45963</v>
      </c>
      <c r="B173" s="4">
        <v>110675.77</v>
      </c>
      <c r="C173" s="4">
        <v>187.93</v>
      </c>
      <c r="D173" s="5">
        <v>588.92018304687917</v>
      </c>
      <c r="E173" s="5">
        <f t="shared" si="10"/>
        <v>573.201120378263</v>
      </c>
      <c r="F173" s="5">
        <f t="shared" si="11"/>
        <v>15.719062668616175</v>
      </c>
      <c r="G173" s="4">
        <f t="shared" si="14"/>
        <v>20.065724832413299</v>
      </c>
      <c r="H173" s="5">
        <f t="shared" si="12"/>
        <v>0.78337876153989139</v>
      </c>
      <c r="I173" s="4" t="str">
        <f t="shared" si="13"/>
        <v>Neutral</v>
      </c>
      <c r="N173" s="4">
        <v>2</v>
      </c>
      <c r="O173" s="4">
        <v>-2</v>
      </c>
    </row>
    <row r="174" spans="1:15" x14ac:dyDescent="0.25">
      <c r="A174" s="3">
        <v>45964</v>
      </c>
      <c r="B174" s="4">
        <v>106350.88</v>
      </c>
      <c r="C174" s="4">
        <v>166.17</v>
      </c>
      <c r="D174" s="5">
        <v>640.01251730155877</v>
      </c>
      <c r="E174" s="5">
        <f t="shared" si="10"/>
        <v>576.6398647401686</v>
      </c>
      <c r="F174" s="5">
        <f t="shared" si="11"/>
        <v>63.372652561390169</v>
      </c>
      <c r="G174" s="4">
        <f t="shared" si="14"/>
        <v>22.332896376109563</v>
      </c>
      <c r="H174" s="5">
        <f t="shared" si="12"/>
        <v>2.8376369770462264</v>
      </c>
      <c r="I174" s="4" t="str">
        <f t="shared" si="13"/>
        <v>BTC rich vs SOL</v>
      </c>
      <c r="N174" s="4">
        <v>2</v>
      </c>
      <c r="O174" s="4">
        <v>-2</v>
      </c>
    </row>
    <row r="175" spans="1:15" x14ac:dyDescent="0.25">
      <c r="A175" s="3">
        <v>45965</v>
      </c>
      <c r="B175" s="4">
        <v>101752.18</v>
      </c>
      <c r="C175" s="4">
        <v>155.22999999999999</v>
      </c>
      <c r="D175" s="5">
        <v>655.49301037170653</v>
      </c>
      <c r="E175" s="5">
        <f t="shared" si="10"/>
        <v>580.50597825702937</v>
      </c>
      <c r="F175" s="5">
        <f t="shared" si="11"/>
        <v>74.987032114677163</v>
      </c>
      <c r="G175" s="4">
        <f t="shared" si="14"/>
        <v>25.498307531213783</v>
      </c>
      <c r="H175" s="5">
        <f t="shared" si="12"/>
        <v>2.9408631150472124</v>
      </c>
      <c r="I175" s="4" t="str">
        <f t="shared" si="13"/>
        <v>BTC rich vs SOL</v>
      </c>
      <c r="N175" s="4">
        <v>2</v>
      </c>
      <c r="O175" s="4">
        <v>-2</v>
      </c>
    </row>
    <row r="176" spans="1:15" x14ac:dyDescent="0.25">
      <c r="A176" s="3">
        <v>45966</v>
      </c>
      <c r="B176" s="4">
        <v>104097.61</v>
      </c>
      <c r="C176" s="4">
        <v>162.71</v>
      </c>
      <c r="D176" s="5">
        <v>639.77389220084808</v>
      </c>
      <c r="E176" s="5">
        <f t="shared" si="10"/>
        <v>583.94268604814556</v>
      </c>
      <c r="F176" s="5">
        <f t="shared" si="11"/>
        <v>55.831206152702521</v>
      </c>
      <c r="G176" s="4">
        <f t="shared" si="14"/>
        <v>26.32145041593499</v>
      </c>
      <c r="H176" s="5">
        <f t="shared" si="12"/>
        <v>2.1211295453119234</v>
      </c>
      <c r="I176" s="4" t="str">
        <f t="shared" si="13"/>
        <v>BTC rich vs SOL</v>
      </c>
      <c r="N176" s="4">
        <v>2</v>
      </c>
      <c r="O176" s="4">
        <v>-2</v>
      </c>
    </row>
    <row r="177" spans="1:15" x14ac:dyDescent="0.25">
      <c r="A177" s="3">
        <v>45967</v>
      </c>
      <c r="B177" s="4">
        <v>101449.54</v>
      </c>
      <c r="C177" s="4">
        <v>155.22999999999999</v>
      </c>
      <c r="D177" s="5">
        <v>653.54338723184947</v>
      </c>
      <c r="E177" s="5">
        <f t="shared" si="10"/>
        <v>587.41413017606351</v>
      </c>
      <c r="F177" s="5">
        <f t="shared" si="11"/>
        <v>66.129257055785956</v>
      </c>
      <c r="G177" s="4">
        <f t="shared" si="14"/>
        <v>28.394560493782819</v>
      </c>
      <c r="H177" s="5">
        <f t="shared" si="12"/>
        <v>2.3289410332752079</v>
      </c>
      <c r="I177" s="4" t="str">
        <f t="shared" si="13"/>
        <v>BTC rich vs SOL</v>
      </c>
      <c r="N177" s="4">
        <v>2</v>
      </c>
      <c r="O177" s="4">
        <v>-2</v>
      </c>
    </row>
    <row r="178" spans="1:15" x14ac:dyDescent="0.25">
      <c r="A178" s="3">
        <v>45968</v>
      </c>
      <c r="B178" s="4">
        <v>103700</v>
      </c>
      <c r="C178" s="4">
        <v>161.85</v>
      </c>
      <c r="D178" s="5">
        <v>640.71671300586968</v>
      </c>
      <c r="E178" s="5">
        <f t="shared" si="10"/>
        <v>590.80978235431496</v>
      </c>
      <c r="F178" s="5">
        <f t="shared" si="11"/>
        <v>49.906930651554717</v>
      </c>
      <c r="G178" s="4">
        <f t="shared" si="14"/>
        <v>28.47732360862387</v>
      </c>
      <c r="H178" s="5">
        <f t="shared" si="12"/>
        <v>1.7525147846562821</v>
      </c>
      <c r="I178" s="4" t="str">
        <f t="shared" si="13"/>
        <v>Neutral</v>
      </c>
      <c r="N178" s="4">
        <v>2</v>
      </c>
      <c r="O178" s="4">
        <v>-2</v>
      </c>
    </row>
    <row r="179" spans="1:15" x14ac:dyDescent="0.25">
      <c r="A179" s="3">
        <v>45969</v>
      </c>
      <c r="B179" s="4">
        <v>102473.99</v>
      </c>
      <c r="C179" s="4">
        <v>158.22</v>
      </c>
      <c r="D179" s="5">
        <v>647.6677411199596</v>
      </c>
      <c r="E179" s="5">
        <f t="shared" si="10"/>
        <v>594.02820347205454</v>
      </c>
      <c r="F179" s="5">
        <f t="shared" si="11"/>
        <v>53.639537647905058</v>
      </c>
      <c r="G179" s="4">
        <f t="shared" si="14"/>
        <v>29.281154391718982</v>
      </c>
      <c r="H179" s="5">
        <f t="shared" si="12"/>
        <v>1.8318791988294998</v>
      </c>
      <c r="I179" s="4" t="str">
        <f t="shared" si="13"/>
        <v>Neutral</v>
      </c>
      <c r="N179" s="4">
        <v>2</v>
      </c>
      <c r="O179" s="4">
        <v>-2</v>
      </c>
    </row>
    <row r="180" spans="1:15" x14ac:dyDescent="0.25">
      <c r="A180" s="3">
        <v>45970</v>
      </c>
      <c r="B180" s="4">
        <v>104904.38</v>
      </c>
      <c r="C180" s="4">
        <v>164.3</v>
      </c>
      <c r="D180" s="5">
        <v>638.49287888009735</v>
      </c>
      <c r="E180" s="5">
        <f t="shared" si="10"/>
        <v>595.312380745018</v>
      </c>
      <c r="F180" s="5">
        <f t="shared" si="11"/>
        <v>43.180498135079347</v>
      </c>
      <c r="G180" s="4">
        <f t="shared" si="14"/>
        <v>30.374985244641259</v>
      </c>
      <c r="H180" s="5">
        <f t="shared" si="12"/>
        <v>1.4215808760828035</v>
      </c>
      <c r="I180" s="4" t="str">
        <f t="shared" si="13"/>
        <v>Neutral</v>
      </c>
      <c r="N180" s="4">
        <v>2</v>
      </c>
      <c r="O180" s="4">
        <v>-2</v>
      </c>
    </row>
    <row r="181" spans="1:15" x14ac:dyDescent="0.25">
      <c r="A181" s="3">
        <v>45971</v>
      </c>
      <c r="B181" s="4">
        <v>106194.85</v>
      </c>
      <c r="C181" s="4">
        <v>167.31</v>
      </c>
      <c r="D181" s="5">
        <v>634.71908433446902</v>
      </c>
      <c r="E181" s="5">
        <f t="shared" si="10"/>
        <v>595.84384327100202</v>
      </c>
      <c r="F181" s="5">
        <f t="shared" si="11"/>
        <v>38.875241063467001</v>
      </c>
      <c r="G181" s="4">
        <f t="shared" si="14"/>
        <v>30.934002358862681</v>
      </c>
      <c r="H181" s="5">
        <f t="shared" si="12"/>
        <v>1.2567155265742433</v>
      </c>
      <c r="I181" s="4" t="str">
        <f t="shared" si="13"/>
        <v>Neutral</v>
      </c>
      <c r="N181" s="4">
        <v>2</v>
      </c>
      <c r="O181" s="4">
        <v>-2</v>
      </c>
    </row>
    <row r="182" spans="1:15" x14ac:dyDescent="0.25">
      <c r="A182" s="3">
        <v>45972</v>
      </c>
      <c r="B182" s="4">
        <v>103208.79</v>
      </c>
      <c r="C182" s="4">
        <v>154.80000000000001</v>
      </c>
      <c r="D182" s="5">
        <v>666.72344961240299</v>
      </c>
      <c r="E182" s="5">
        <f t="shared" si="10"/>
        <v>598.66228904894285</v>
      </c>
      <c r="F182" s="5">
        <f t="shared" si="11"/>
        <v>68.061160563460135</v>
      </c>
      <c r="G182" s="4">
        <f t="shared" si="14"/>
        <v>33.398895371645963</v>
      </c>
      <c r="H182" s="5">
        <f t="shared" si="12"/>
        <v>2.0378266947487353</v>
      </c>
      <c r="I182" s="4" t="str">
        <f t="shared" si="13"/>
        <v>BTC rich vs SOL</v>
      </c>
      <c r="N182" s="4">
        <v>2</v>
      </c>
      <c r="O182" s="4">
        <v>-2</v>
      </c>
    </row>
    <row r="183" spans="1:15" x14ac:dyDescent="0.25">
      <c r="A183" s="3">
        <v>45973</v>
      </c>
      <c r="B183" s="4">
        <v>101783.24</v>
      </c>
      <c r="C183" s="4">
        <v>153.33000000000001</v>
      </c>
      <c r="D183" s="5">
        <v>663.81816996021655</v>
      </c>
      <c r="E183" s="5">
        <f t="shared" si="10"/>
        <v>602.35515834933881</v>
      </c>
      <c r="F183" s="5">
        <f t="shared" si="11"/>
        <v>61.463011610877743</v>
      </c>
      <c r="G183" s="4">
        <f t="shared" si="14"/>
        <v>34.292431796931083</v>
      </c>
      <c r="H183" s="5">
        <f t="shared" si="12"/>
        <v>1.7923200073661216</v>
      </c>
      <c r="I183" s="4" t="str">
        <f t="shared" si="13"/>
        <v>Neutral</v>
      </c>
      <c r="N183" s="4">
        <v>2</v>
      </c>
      <c r="O183" s="4">
        <v>-2</v>
      </c>
    </row>
    <row r="184" spans="1:15" x14ac:dyDescent="0.25">
      <c r="A184" s="3">
        <v>45974</v>
      </c>
      <c r="B184" s="4">
        <v>99943.75</v>
      </c>
      <c r="C184" s="4">
        <v>144.59</v>
      </c>
      <c r="D184" s="5">
        <v>691.22173041012513</v>
      </c>
      <c r="E184" s="5">
        <f t="shared" si="10"/>
        <v>606.75744855024266</v>
      </c>
      <c r="F184" s="5">
        <f t="shared" si="11"/>
        <v>84.464281859882476</v>
      </c>
      <c r="G184" s="4">
        <f t="shared" si="14"/>
        <v>36.930780526252498</v>
      </c>
      <c r="H184" s="5">
        <f t="shared" si="12"/>
        <v>2.2870971221374665</v>
      </c>
      <c r="I184" s="4" t="str">
        <f t="shared" si="13"/>
        <v>BTC rich vs SOL</v>
      </c>
      <c r="N184" s="4">
        <v>2</v>
      </c>
      <c r="O184" s="4">
        <v>-2</v>
      </c>
    </row>
    <row r="185" spans="1:15" x14ac:dyDescent="0.25">
      <c r="A185" s="3">
        <v>45975</v>
      </c>
      <c r="B185" s="4">
        <v>94740.41</v>
      </c>
      <c r="C185" s="4">
        <v>139.06</v>
      </c>
      <c r="D185" s="5">
        <v>681.29160074787865</v>
      </c>
      <c r="E185" s="5">
        <f t="shared" si="10"/>
        <v>610.37241844637231</v>
      </c>
      <c r="F185" s="5">
        <f t="shared" si="11"/>
        <v>70.919182301506339</v>
      </c>
      <c r="G185" s="4">
        <f t="shared" si="14"/>
        <v>38.7590568318397</v>
      </c>
      <c r="H185" s="5">
        <f t="shared" si="12"/>
        <v>1.8297447899518497</v>
      </c>
      <c r="I185" s="4" t="str">
        <f t="shared" si="13"/>
        <v>Neutral</v>
      </c>
      <c r="N185" s="4">
        <v>2</v>
      </c>
      <c r="O185" s="4">
        <v>-2</v>
      </c>
    </row>
    <row r="186" spans="1:15" x14ac:dyDescent="0.25">
      <c r="A186" s="3">
        <v>45976</v>
      </c>
      <c r="B186" s="4">
        <v>95519.21</v>
      </c>
      <c r="C186" s="4">
        <v>139.76</v>
      </c>
      <c r="D186" s="5">
        <v>683.45170291929026</v>
      </c>
      <c r="E186" s="5">
        <f t="shared" si="10"/>
        <v>613.68346201331258</v>
      </c>
      <c r="F186" s="5">
        <f t="shared" si="11"/>
        <v>69.768240905977677</v>
      </c>
      <c r="G186" s="4">
        <f t="shared" si="14"/>
        <v>40.636399919935315</v>
      </c>
      <c r="H186" s="5">
        <f t="shared" si="12"/>
        <v>1.7168903013908703</v>
      </c>
      <c r="I186" s="4" t="str">
        <f t="shared" si="13"/>
        <v>Neutral</v>
      </c>
      <c r="N186" s="4">
        <v>2</v>
      </c>
      <c r="O186" s="4">
        <v>-2</v>
      </c>
    </row>
    <row r="187" spans="1:15" x14ac:dyDescent="0.25">
      <c r="A187" s="3">
        <v>45977</v>
      </c>
      <c r="B187" s="4">
        <v>94299.99</v>
      </c>
      <c r="C187" s="4">
        <v>137.22999999999999</v>
      </c>
      <c r="D187" s="5">
        <v>687.16745609560598</v>
      </c>
      <c r="E187" s="5">
        <f t="shared" si="10"/>
        <v>617.0397134074467</v>
      </c>
      <c r="F187" s="5">
        <f t="shared" si="11"/>
        <v>70.127742688159287</v>
      </c>
      <c r="G187" s="4">
        <f t="shared" si="14"/>
        <v>42.430521150938048</v>
      </c>
      <c r="H187" s="5">
        <f t="shared" si="12"/>
        <v>1.6527664705953986</v>
      </c>
      <c r="I187" s="4" t="str">
        <f t="shared" si="13"/>
        <v>Neutral</v>
      </c>
      <c r="N187" s="4">
        <v>2</v>
      </c>
      <c r="O187" s="4">
        <v>-2</v>
      </c>
    </row>
    <row r="188" spans="1:15" x14ac:dyDescent="0.25">
      <c r="A188" s="3">
        <v>45978</v>
      </c>
      <c r="B188" s="4">
        <v>92271.38</v>
      </c>
      <c r="C188" s="4">
        <v>131.11000000000001</v>
      </c>
      <c r="D188" s="5">
        <v>703.7707268705667</v>
      </c>
      <c r="E188" s="5">
        <f t="shared" si="10"/>
        <v>621.49781565820933</v>
      </c>
      <c r="F188" s="5">
        <f t="shared" si="11"/>
        <v>82.272911212357371</v>
      </c>
      <c r="G188" s="4">
        <f t="shared" si="14"/>
        <v>44.305374402778227</v>
      </c>
      <c r="H188" s="5">
        <f t="shared" si="12"/>
        <v>1.8569510431041147</v>
      </c>
      <c r="I188" s="4" t="str">
        <f t="shared" si="13"/>
        <v>Neutral</v>
      </c>
      <c r="N188" s="4">
        <v>2</v>
      </c>
      <c r="O188" s="4">
        <v>-2</v>
      </c>
    </row>
    <row r="189" spans="1:15" x14ac:dyDescent="0.25">
      <c r="A189" s="3">
        <v>45979</v>
      </c>
      <c r="B189" s="4">
        <v>92944.17</v>
      </c>
      <c r="C189" s="4">
        <v>140.77000000000001</v>
      </c>
      <c r="D189" s="5">
        <v>660.25552319386225</v>
      </c>
      <c r="E189" s="5">
        <f t="shared" si="10"/>
        <v>624.19857300400759</v>
      </c>
      <c r="F189" s="5">
        <f t="shared" si="11"/>
        <v>36.05695018985466</v>
      </c>
      <c r="G189" s="4">
        <f t="shared" si="14"/>
        <v>44.109200582235026</v>
      </c>
      <c r="H189" s="5">
        <f t="shared" si="12"/>
        <v>0.81744737410581392</v>
      </c>
      <c r="I189" s="4" t="str">
        <f t="shared" si="13"/>
        <v>Neutral</v>
      </c>
      <c r="N189" s="4">
        <v>2</v>
      </c>
      <c r="O189" s="4">
        <v>-2</v>
      </c>
    </row>
    <row r="190" spans="1:15" x14ac:dyDescent="0.25">
      <c r="A190" s="3">
        <v>45980</v>
      </c>
      <c r="B190" s="4">
        <v>91240.41</v>
      </c>
      <c r="C190" s="4">
        <v>137</v>
      </c>
      <c r="D190" s="5">
        <v>665.98839416058399</v>
      </c>
      <c r="E190" s="5">
        <f t="shared" si="10"/>
        <v>626.95763029396926</v>
      </c>
      <c r="F190" s="5">
        <f t="shared" si="11"/>
        <v>39.030763866614734</v>
      </c>
      <c r="G190" s="4">
        <f t="shared" si="14"/>
        <v>44.046028830494798</v>
      </c>
      <c r="H190" s="5">
        <f t="shared" si="12"/>
        <v>0.88613581979931411</v>
      </c>
      <c r="I190" s="4" t="str">
        <f t="shared" si="13"/>
        <v>Neutral</v>
      </c>
      <c r="N190" s="4">
        <v>2</v>
      </c>
      <c r="O190" s="4">
        <v>-2</v>
      </c>
    </row>
    <row r="191" spans="1:15" x14ac:dyDescent="0.25">
      <c r="A191" s="3">
        <v>45981</v>
      </c>
      <c r="B191" s="4">
        <v>87062.01</v>
      </c>
      <c r="C191" s="4">
        <v>133.87</v>
      </c>
      <c r="D191" s="5">
        <v>650.34742660790312</v>
      </c>
      <c r="E191" s="5">
        <f t="shared" si="10"/>
        <v>629.11042519819603</v>
      </c>
      <c r="F191" s="5">
        <f t="shared" si="11"/>
        <v>21.237001409707091</v>
      </c>
      <c r="G191" s="4">
        <f t="shared" si="14"/>
        <v>43.538577419860417</v>
      </c>
      <c r="H191" s="5">
        <f t="shared" si="12"/>
        <v>0.48777435249916296</v>
      </c>
      <c r="I191" s="4" t="str">
        <f t="shared" si="13"/>
        <v>Neutral</v>
      </c>
      <c r="N191" s="4">
        <v>2</v>
      </c>
      <c r="O191" s="4">
        <v>-2</v>
      </c>
    </row>
    <row r="192" spans="1:15" x14ac:dyDescent="0.25">
      <c r="A192" s="3">
        <v>45982</v>
      </c>
      <c r="B192" s="4">
        <v>85003.21</v>
      </c>
      <c r="C192" s="4">
        <v>128.65</v>
      </c>
      <c r="D192" s="5">
        <v>660.73229692965413</v>
      </c>
      <c r="E192" s="5">
        <f t="shared" si="10"/>
        <v>631.21251041018559</v>
      </c>
      <c r="F192" s="5">
        <f t="shared" si="11"/>
        <v>29.519786519468539</v>
      </c>
      <c r="G192" s="4">
        <f t="shared" si="14"/>
        <v>43.490580527268264</v>
      </c>
      <c r="H192" s="5">
        <f t="shared" si="12"/>
        <v>0.67876276107558176</v>
      </c>
      <c r="I192" s="4" t="str">
        <f t="shared" si="13"/>
        <v>Neutral</v>
      </c>
      <c r="N192" s="4">
        <v>2</v>
      </c>
      <c r="O192" s="4">
        <v>-2</v>
      </c>
    </row>
    <row r="193" spans="1:15" x14ac:dyDescent="0.25">
      <c r="A193" s="3">
        <v>45983</v>
      </c>
      <c r="B193" s="4">
        <v>84670.71</v>
      </c>
      <c r="C193" s="4">
        <v>127.73</v>
      </c>
      <c r="D193" s="5">
        <v>662.88820167540905</v>
      </c>
      <c r="E193" s="5">
        <f t="shared" si="10"/>
        <v>634.11240960379234</v>
      </c>
      <c r="F193" s="5">
        <f t="shared" si="11"/>
        <v>28.775792071616706</v>
      </c>
      <c r="G193" s="4">
        <f t="shared" si="14"/>
        <v>42.565207451795786</v>
      </c>
      <c r="H193" s="5">
        <f t="shared" si="12"/>
        <v>0.67604021674755599</v>
      </c>
      <c r="I193" s="4" t="str">
        <f t="shared" si="13"/>
        <v>Neutral</v>
      </c>
      <c r="N193" s="4">
        <v>2</v>
      </c>
      <c r="O193" s="4">
        <v>-2</v>
      </c>
    </row>
    <row r="194" spans="1:15" x14ac:dyDescent="0.25">
      <c r="A194" s="3">
        <v>45984</v>
      </c>
      <c r="B194" s="4">
        <v>86982.78</v>
      </c>
      <c r="C194" s="4">
        <v>130.76</v>
      </c>
      <c r="D194" s="5">
        <v>665.20939125114717</v>
      </c>
      <c r="E194" s="5">
        <f t="shared" si="10"/>
        <v>637.15845248510993</v>
      </c>
      <c r="F194" s="5">
        <f t="shared" si="11"/>
        <v>28.050938766037234</v>
      </c>
      <c r="G194" s="4">
        <f t="shared" si="14"/>
        <v>41.354890976752444</v>
      </c>
      <c r="H194" s="5">
        <f t="shared" si="12"/>
        <v>0.67829797403663827</v>
      </c>
      <c r="I194" s="4" t="str">
        <f t="shared" si="13"/>
        <v>Neutral</v>
      </c>
      <c r="N194" s="4">
        <v>2</v>
      </c>
      <c r="O194" s="4">
        <v>-2</v>
      </c>
    </row>
    <row r="195" spans="1:15" x14ac:dyDescent="0.25">
      <c r="A195" s="3">
        <v>45985</v>
      </c>
      <c r="B195" s="4">
        <v>88512.08</v>
      </c>
      <c r="C195" s="4">
        <v>138.4</v>
      </c>
      <c r="D195" s="5">
        <v>639.53815028901738</v>
      </c>
      <c r="E195" s="5">
        <f t="shared" si="10"/>
        <v>639.3045828835584</v>
      </c>
      <c r="F195" s="5">
        <f t="shared" si="11"/>
        <v>0.23356740545898447</v>
      </c>
      <c r="G195" s="4">
        <f t="shared" si="14"/>
        <v>39.662171390118239</v>
      </c>
      <c r="H195" s="5">
        <f t="shared" si="12"/>
        <v>5.8889212887920043E-3</v>
      </c>
      <c r="I195" s="4" t="str">
        <f t="shared" si="13"/>
        <v>Neutral</v>
      </c>
      <c r="N195" s="4">
        <v>2</v>
      </c>
      <c r="O195" s="4">
        <v>-2</v>
      </c>
    </row>
    <row r="196" spans="1:15" x14ac:dyDescent="0.25">
      <c r="A196" s="3">
        <v>45986</v>
      </c>
      <c r="B196" s="4">
        <v>87573.26</v>
      </c>
      <c r="C196" s="4">
        <v>139.06</v>
      </c>
      <c r="D196" s="5">
        <v>629.75161800661579</v>
      </c>
      <c r="E196" s="5">
        <f t="shared" si="10"/>
        <v>641.19036948741052</v>
      </c>
      <c r="F196" s="5">
        <f t="shared" si="11"/>
        <v>-11.438751480794735</v>
      </c>
      <c r="G196" s="4">
        <f t="shared" si="14"/>
        <v>37.706396792565791</v>
      </c>
      <c r="H196" s="5">
        <f t="shared" si="12"/>
        <v>-0.30336368504587541</v>
      </c>
      <c r="I196" s="4" t="str">
        <f t="shared" si="13"/>
        <v>Neutral</v>
      </c>
      <c r="N196" s="4">
        <v>2</v>
      </c>
      <c r="O196" s="4">
        <v>-2</v>
      </c>
    </row>
    <row r="197" spans="1:15" x14ac:dyDescent="0.25">
      <c r="A197" s="3">
        <v>45987</v>
      </c>
      <c r="B197" s="4">
        <v>90577.72</v>
      </c>
      <c r="C197" s="4">
        <v>142.97999999999999</v>
      </c>
      <c r="D197" s="5">
        <v>633.49923066163103</v>
      </c>
      <c r="E197" s="5">
        <f t="shared" si="10"/>
        <v>643.14650922605858</v>
      </c>
      <c r="F197" s="5">
        <f t="shared" si="11"/>
        <v>-9.6472785644275518</v>
      </c>
      <c r="G197" s="4">
        <f t="shared" si="14"/>
        <v>35.608054583779058</v>
      </c>
      <c r="H197" s="5">
        <f t="shared" si="12"/>
        <v>-0.27092967243490707</v>
      </c>
      <c r="I197" s="4" t="str">
        <f t="shared" si="13"/>
        <v>Neutral</v>
      </c>
      <c r="N197" s="4">
        <v>2</v>
      </c>
      <c r="O197" s="4">
        <v>-2</v>
      </c>
    </row>
    <row r="198" spans="1:15" x14ac:dyDescent="0.25">
      <c r="A198" s="3">
        <v>45988</v>
      </c>
      <c r="B198" s="4">
        <v>91452.2</v>
      </c>
      <c r="C198" s="4">
        <v>141.19</v>
      </c>
      <c r="D198" s="5">
        <v>647.72434308378774</v>
      </c>
      <c r="E198" s="5">
        <f t="shared" si="10"/>
        <v>645.37668044809391</v>
      </c>
      <c r="F198" s="5">
        <f t="shared" si="11"/>
        <v>2.3476626356938368</v>
      </c>
      <c r="G198" s="4">
        <f t="shared" si="14"/>
        <v>33.608869397774463</v>
      </c>
      <c r="H198" s="5">
        <f t="shared" si="12"/>
        <v>6.985247280735056E-2</v>
      </c>
      <c r="I198" s="4" t="str">
        <f t="shared" si="13"/>
        <v>Neutral</v>
      </c>
      <c r="N198" s="4">
        <v>2</v>
      </c>
      <c r="O198" s="4">
        <v>-2</v>
      </c>
    </row>
    <row r="199" spans="1:15" x14ac:dyDescent="0.25">
      <c r="A199" s="3">
        <v>45989</v>
      </c>
      <c r="B199" s="4">
        <v>90921.52</v>
      </c>
      <c r="C199" s="4">
        <v>137.5</v>
      </c>
      <c r="D199" s="5">
        <v>661.24741818181826</v>
      </c>
      <c r="E199" s="5">
        <f t="shared" si="10"/>
        <v>648.53387844605504</v>
      </c>
      <c r="F199" s="5">
        <f t="shared" si="11"/>
        <v>12.71353973576322</v>
      </c>
      <c r="G199" s="4">
        <f t="shared" si="14"/>
        <v>30.225248861358459</v>
      </c>
      <c r="H199" s="5">
        <f t="shared" si="12"/>
        <v>0.42062647007736881</v>
      </c>
      <c r="I199" s="4" t="str">
        <f t="shared" si="13"/>
        <v>Neutral</v>
      </c>
      <c r="N199" s="4">
        <v>2</v>
      </c>
      <c r="O199" s="4">
        <v>-2</v>
      </c>
    </row>
    <row r="200" spans="1:15" x14ac:dyDescent="0.25">
      <c r="A200" s="3">
        <v>45990</v>
      </c>
      <c r="B200" s="4">
        <v>90878.9</v>
      </c>
      <c r="C200" s="4">
        <v>136.08000000000001</v>
      </c>
      <c r="D200" s="5">
        <v>667.83436213991763</v>
      </c>
      <c r="E200" s="5">
        <f t="shared" si="10"/>
        <v>651.25796536675614</v>
      </c>
      <c r="F200" s="5">
        <f t="shared" si="11"/>
        <v>16.576396773161491</v>
      </c>
      <c r="G200" s="4">
        <f t="shared" si="14"/>
        <v>28.006632232933434</v>
      </c>
      <c r="H200" s="5">
        <f t="shared" si="12"/>
        <v>0.59187397596734426</v>
      </c>
      <c r="I200" s="4" t="str">
        <f t="shared" si="13"/>
        <v>Neutral</v>
      </c>
      <c r="N200" s="4">
        <v>2</v>
      </c>
      <c r="O200" s="4">
        <v>-2</v>
      </c>
    </row>
    <row r="201" spans="1:15" x14ac:dyDescent="0.25">
      <c r="A201" s="3">
        <v>45991</v>
      </c>
      <c r="B201" s="4">
        <v>90589.87</v>
      </c>
      <c r="C201" s="4">
        <v>133.41</v>
      </c>
      <c r="D201" s="5">
        <v>679.03358069110254</v>
      </c>
      <c r="E201" s="5">
        <f t="shared" si="10"/>
        <v>654.3580772112889</v>
      </c>
      <c r="F201" s="5">
        <f t="shared" si="11"/>
        <v>24.675503479813642</v>
      </c>
      <c r="G201" s="4">
        <f t="shared" si="14"/>
        <v>25.579678058726717</v>
      </c>
      <c r="H201" s="5">
        <f t="shared" si="12"/>
        <v>0.96465262084857994</v>
      </c>
      <c r="I201" s="4" t="str">
        <f t="shared" si="13"/>
        <v>Neutral</v>
      </c>
      <c r="N201" s="4">
        <v>2</v>
      </c>
      <c r="O201" s="4">
        <v>-2</v>
      </c>
    </row>
    <row r="202" spans="1:15" x14ac:dyDescent="0.25">
      <c r="A202" s="3">
        <v>45992</v>
      </c>
      <c r="B202" s="4">
        <v>86249.78</v>
      </c>
      <c r="C202" s="4">
        <v>126.8</v>
      </c>
      <c r="D202" s="5">
        <v>680.20331230283909</v>
      </c>
      <c r="E202" s="5">
        <f t="shared" si="10"/>
        <v>657.36791644282027</v>
      </c>
      <c r="F202" s="5">
        <f t="shared" si="11"/>
        <v>22.835395860018821</v>
      </c>
      <c r="G202" s="4">
        <f t="shared" si="14"/>
        <v>22.907373578713614</v>
      </c>
      <c r="H202" s="5">
        <f t="shared" si="12"/>
        <v>0.99685787991157238</v>
      </c>
      <c r="I202" s="4" t="str">
        <f t="shared" si="13"/>
        <v>Neutral</v>
      </c>
      <c r="N202" s="4">
        <v>2</v>
      </c>
      <c r="O202" s="4">
        <v>-2</v>
      </c>
    </row>
    <row r="203" spans="1:15" x14ac:dyDescent="0.25">
      <c r="A203" s="3">
        <v>45993</v>
      </c>
      <c r="B203" s="4">
        <v>91550.01</v>
      </c>
      <c r="C203" s="4">
        <v>138.54</v>
      </c>
      <c r="D203" s="5">
        <v>660.82005197055003</v>
      </c>
      <c r="E203" s="5">
        <f t="shared" si="10"/>
        <v>659.76457874027608</v>
      </c>
      <c r="F203" s="5">
        <f t="shared" si="11"/>
        <v>1.0554732302739467</v>
      </c>
      <c r="G203" s="4">
        <f t="shared" si="14"/>
        <v>18.911947046488379</v>
      </c>
      <c r="H203" s="5">
        <f t="shared" si="12"/>
        <v>5.5809865989971126E-2</v>
      </c>
      <c r="I203" s="4" t="str">
        <f t="shared" si="13"/>
        <v>Neutral</v>
      </c>
      <c r="N203" s="4">
        <v>2</v>
      </c>
      <c r="O203" s="4">
        <v>-2</v>
      </c>
    </row>
    <row r="204" spans="1:15" x14ac:dyDescent="0.25">
      <c r="A204" s="3">
        <v>45994</v>
      </c>
      <c r="B204" s="4">
        <v>93747.41</v>
      </c>
      <c r="C204" s="4">
        <v>145.12</v>
      </c>
      <c r="D204" s="5">
        <v>645.99924200661519</v>
      </c>
      <c r="E204" s="5">
        <f t="shared" si="10"/>
        <v>659.96413623044464</v>
      </c>
      <c r="F204" s="5">
        <f t="shared" si="11"/>
        <v>-13.964894223829447</v>
      </c>
      <c r="G204" s="4">
        <f t="shared" si="14"/>
        <v>18.727019351674713</v>
      </c>
      <c r="H204" s="5">
        <f t="shared" si="12"/>
        <v>-0.74570832451137503</v>
      </c>
      <c r="I204" s="4" t="str">
        <f t="shared" si="13"/>
        <v>Neutral</v>
      </c>
      <c r="N204" s="4">
        <v>2</v>
      </c>
      <c r="O204" s="4">
        <v>-2</v>
      </c>
    </row>
    <row r="205" spans="1:15" x14ac:dyDescent="0.25">
      <c r="A205" s="3">
        <v>45995</v>
      </c>
      <c r="B205" s="4">
        <v>92125.79</v>
      </c>
      <c r="C205" s="4">
        <v>138.97999999999999</v>
      </c>
      <c r="D205" s="5">
        <v>662.8708447258598</v>
      </c>
      <c r="E205" s="5">
        <f t="shared" si="10"/>
        <v>660.21006404224977</v>
      </c>
      <c r="F205" s="5">
        <f t="shared" si="11"/>
        <v>2.6607806836100281</v>
      </c>
      <c r="G205" s="4">
        <f t="shared" si="14"/>
        <v>18.714718468513642</v>
      </c>
      <c r="H205" s="5">
        <f t="shared" si="12"/>
        <v>0.14217583278565624</v>
      </c>
      <c r="I205" s="4" t="str">
        <f t="shared" si="13"/>
        <v>Neutral</v>
      </c>
      <c r="N205" s="4">
        <v>2</v>
      </c>
      <c r="O205" s="4">
        <v>-2</v>
      </c>
    </row>
    <row r="206" spans="1:15" x14ac:dyDescent="0.25">
      <c r="A206" s="3">
        <v>45996</v>
      </c>
      <c r="B206" s="4">
        <v>89094.11</v>
      </c>
      <c r="C206" s="4">
        <v>133.08000000000001</v>
      </c>
      <c r="D206" s="5">
        <v>669.4778328824766</v>
      </c>
      <c r="E206" s="5">
        <f t="shared" si="10"/>
        <v>661.200195398304</v>
      </c>
      <c r="F206" s="5">
        <f t="shared" si="11"/>
        <v>8.277637484172601</v>
      </c>
      <c r="G206" s="4">
        <f t="shared" si="14"/>
        <v>18.378983077561401</v>
      </c>
      <c r="H206" s="5">
        <f t="shared" si="12"/>
        <v>0.45038604417012784</v>
      </c>
      <c r="I206" s="4" t="str">
        <f t="shared" si="13"/>
        <v>Neutral</v>
      </c>
      <c r="N206" s="4">
        <v>2</v>
      </c>
      <c r="O206" s="4">
        <v>-2</v>
      </c>
    </row>
    <row r="207" spans="1:15" x14ac:dyDescent="0.25">
      <c r="A207" s="3">
        <v>45997</v>
      </c>
      <c r="B207" s="4">
        <v>89422.79</v>
      </c>
      <c r="C207" s="4">
        <v>132.38</v>
      </c>
      <c r="D207" s="5">
        <v>675.500755401118</v>
      </c>
      <c r="E207" s="5">
        <f t="shared" si="10"/>
        <v>661.93210767061305</v>
      </c>
      <c r="F207" s="5">
        <f t="shared" si="11"/>
        <v>13.568647730504949</v>
      </c>
      <c r="G207" s="4">
        <f t="shared" si="14"/>
        <v>18.50035599644324</v>
      </c>
      <c r="H207" s="5">
        <f t="shared" si="12"/>
        <v>0.73342630450536039</v>
      </c>
      <c r="I207" s="4" t="str">
        <f t="shared" si="13"/>
        <v>Neutral</v>
      </c>
      <c r="N207" s="4">
        <v>2</v>
      </c>
      <c r="O207" s="4">
        <v>-2</v>
      </c>
    </row>
    <row r="208" spans="1:15" x14ac:dyDescent="0.25">
      <c r="A208" s="3">
        <v>45998</v>
      </c>
      <c r="B208" s="4">
        <v>90419.25</v>
      </c>
      <c r="C208" s="4">
        <v>132.24</v>
      </c>
      <c r="D208" s="5">
        <v>683.75113430127033</v>
      </c>
      <c r="E208" s="5">
        <f t="shared" si="10"/>
        <v>663.3665883804598</v>
      </c>
      <c r="F208" s="5">
        <f t="shared" si="11"/>
        <v>20.384545920810524</v>
      </c>
      <c r="G208" s="4">
        <f t="shared" si="14"/>
        <v>18.467004025801142</v>
      </c>
      <c r="H208" s="5">
        <f t="shared" si="12"/>
        <v>1.1038361118203197</v>
      </c>
      <c r="I208" s="4" t="str">
        <f t="shared" si="13"/>
        <v>Neutral</v>
      </c>
      <c r="N208" s="4">
        <v>2</v>
      </c>
      <c r="O208" s="4">
        <v>-2</v>
      </c>
    </row>
    <row r="209" spans="1:15" x14ac:dyDescent="0.25">
      <c r="A209" s="3">
        <v>45999</v>
      </c>
      <c r="B209" s="4">
        <v>90817.84</v>
      </c>
      <c r="C209" s="4">
        <v>133.30000000000001</v>
      </c>
      <c r="D209" s="5">
        <v>681.30412603150785</v>
      </c>
      <c r="E209" s="5">
        <f t="shared" si="10"/>
        <v>664.48780121084462</v>
      </c>
      <c r="F209" s="5">
        <f t="shared" si="11"/>
        <v>16.816324820663226</v>
      </c>
      <c r="G209" s="4">
        <f t="shared" si="14"/>
        <v>18.502064002591126</v>
      </c>
      <c r="H209" s="5">
        <f t="shared" si="12"/>
        <v>0.90888912817014256</v>
      </c>
      <c r="I209" s="4" t="str">
        <f t="shared" si="13"/>
        <v>Neutral</v>
      </c>
      <c r="N209" s="4">
        <v>2</v>
      </c>
      <c r="O209" s="4">
        <v>-2</v>
      </c>
    </row>
    <row r="210" spans="1:15" x14ac:dyDescent="0.25">
      <c r="A210" s="3">
        <v>46000</v>
      </c>
      <c r="B210" s="4">
        <v>92974.58</v>
      </c>
      <c r="C210" s="4">
        <v>137.93</v>
      </c>
      <c r="D210" s="5">
        <v>674.07076053070398</v>
      </c>
      <c r="E210" s="5">
        <f t="shared" si="10"/>
        <v>665.67373059919817</v>
      </c>
      <c r="F210" s="5">
        <f t="shared" si="11"/>
        <v>8.3970299315058128</v>
      </c>
      <c r="G210" s="4">
        <f t="shared" si="14"/>
        <v>17.909127960867487</v>
      </c>
      <c r="H210" s="5">
        <f t="shared" si="12"/>
        <v>0.46886872157336884</v>
      </c>
      <c r="I210" s="4" t="str">
        <f t="shared" si="13"/>
        <v>Neutral</v>
      </c>
      <c r="N210" s="4">
        <v>2</v>
      </c>
      <c r="O210" s="4">
        <v>-2</v>
      </c>
    </row>
    <row r="211" spans="1:15" x14ac:dyDescent="0.25">
      <c r="A211" s="3">
        <v>46001</v>
      </c>
      <c r="B211" s="4">
        <v>91946.89</v>
      </c>
      <c r="C211" s="4">
        <v>136.31</v>
      </c>
      <c r="D211" s="5">
        <v>674.54251338859945</v>
      </c>
      <c r="E211" s="5">
        <f t="shared" si="10"/>
        <v>667.00117823433584</v>
      </c>
      <c r="F211" s="5">
        <f t="shared" si="11"/>
        <v>7.5413351542636065</v>
      </c>
      <c r="G211" s="4">
        <f t="shared" si="14"/>
        <v>16.987795549496333</v>
      </c>
      <c r="H211" s="5">
        <f t="shared" si="12"/>
        <v>0.44392664912235758</v>
      </c>
      <c r="I211" s="4" t="str">
        <f t="shared" si="13"/>
        <v>Neutral</v>
      </c>
      <c r="N211" s="4">
        <v>2</v>
      </c>
      <c r="O211" s="4">
        <v>-2</v>
      </c>
    </row>
    <row r="212" spans="1:15" x14ac:dyDescent="0.25">
      <c r="A212" s="3">
        <v>46002</v>
      </c>
      <c r="B212" s="4">
        <v>92596.49</v>
      </c>
      <c r="C212" s="4">
        <v>136.19</v>
      </c>
      <c r="D212" s="5">
        <v>679.90667449886189</v>
      </c>
      <c r="E212" s="5">
        <f t="shared" si="10"/>
        <v>667.44061906388447</v>
      </c>
      <c r="F212" s="5">
        <f t="shared" si="11"/>
        <v>12.46605543497742</v>
      </c>
      <c r="G212" s="4">
        <f t="shared" si="14"/>
        <v>17.150100215530216</v>
      </c>
      <c r="H212" s="5">
        <f t="shared" si="12"/>
        <v>0.72687945133339948</v>
      </c>
      <c r="I212" s="4" t="str">
        <f t="shared" si="13"/>
        <v>Neutral</v>
      </c>
      <c r="N212" s="4">
        <v>2</v>
      </c>
      <c r="O212" s="4">
        <v>-2</v>
      </c>
    </row>
    <row r="213" spans="1:15" x14ac:dyDescent="0.25">
      <c r="A213" s="3">
        <v>46003</v>
      </c>
      <c r="B213" s="4">
        <v>90294.75</v>
      </c>
      <c r="C213" s="4">
        <v>132.38</v>
      </c>
      <c r="D213" s="5">
        <v>682.08755098957545</v>
      </c>
      <c r="E213" s="5">
        <f t="shared" si="10"/>
        <v>668.04959843152972</v>
      </c>
      <c r="F213" s="5">
        <f t="shared" si="11"/>
        <v>14.037952558045731</v>
      </c>
      <c r="G213" s="4">
        <f t="shared" si="14"/>
        <v>17.340342622693658</v>
      </c>
      <c r="H213" s="5">
        <f t="shared" si="12"/>
        <v>0.80955450901379411</v>
      </c>
      <c r="I213" s="4" t="str">
        <f t="shared" si="13"/>
        <v>Neutral</v>
      </c>
      <c r="N213" s="4">
        <v>2</v>
      </c>
      <c r="O213" s="4">
        <v>-2</v>
      </c>
    </row>
    <row r="214" spans="1:15" x14ac:dyDescent="0.25">
      <c r="A214" s="3">
        <v>46004</v>
      </c>
      <c r="B214" s="4">
        <v>90298.85</v>
      </c>
      <c r="C214" s="4">
        <v>133.13999999999999</v>
      </c>
      <c r="D214" s="5">
        <v>678.22480096139418</v>
      </c>
      <c r="E214" s="5">
        <f t="shared" si="10"/>
        <v>667.6163674499054</v>
      </c>
      <c r="F214" s="5">
        <f t="shared" si="11"/>
        <v>10.608433511488784</v>
      </c>
      <c r="G214" s="4">
        <f t="shared" si="14"/>
        <v>16.898166968013413</v>
      </c>
      <c r="H214" s="5">
        <f t="shared" si="12"/>
        <v>0.62778605108882612</v>
      </c>
      <c r="I214" s="4" t="str">
        <f t="shared" si="13"/>
        <v>Neutral</v>
      </c>
      <c r="N214" s="4">
        <v>2</v>
      </c>
      <c r="O214" s="4">
        <v>-2</v>
      </c>
    </row>
    <row r="215" spans="1:15" x14ac:dyDescent="0.25">
      <c r="A215" s="3">
        <v>46005</v>
      </c>
      <c r="B215" s="4">
        <v>88314.15</v>
      </c>
      <c r="C215" s="4">
        <v>129.66999999999999</v>
      </c>
      <c r="D215" s="5">
        <v>681.06848153003784</v>
      </c>
      <c r="E215" s="5">
        <f t="shared" si="10"/>
        <v>667.608930142644</v>
      </c>
      <c r="F215" s="5">
        <f t="shared" si="11"/>
        <v>13.459551387393844</v>
      </c>
      <c r="G215" s="4">
        <f t="shared" si="14"/>
        <v>16.891988580135745</v>
      </c>
      <c r="H215" s="5">
        <f t="shared" si="12"/>
        <v>0.7968008812900631</v>
      </c>
      <c r="I215" s="4" t="str">
        <f t="shared" si="13"/>
        <v>Neutral</v>
      </c>
      <c r="N215" s="4">
        <v>2</v>
      </c>
      <c r="O215" s="4">
        <v>-2</v>
      </c>
    </row>
    <row r="216" spans="1:15" x14ac:dyDescent="0.25">
      <c r="A216" s="3">
        <v>46006</v>
      </c>
      <c r="B216" s="4">
        <v>86486.12</v>
      </c>
      <c r="C216" s="4">
        <v>127.66</v>
      </c>
      <c r="D216" s="5">
        <v>677.47234842550517</v>
      </c>
      <c r="E216" s="5">
        <f t="shared" si="10"/>
        <v>667.4096183261845</v>
      </c>
      <c r="F216" s="5">
        <f t="shared" si="11"/>
        <v>10.062730099320675</v>
      </c>
      <c r="G216" s="4">
        <f t="shared" si="14"/>
        <v>16.733139617719246</v>
      </c>
      <c r="H216" s="5">
        <f t="shared" si="12"/>
        <v>0.60136533425352734</v>
      </c>
      <c r="I216" s="4" t="str">
        <f t="shared" si="13"/>
        <v>Neutral</v>
      </c>
      <c r="N216" s="4">
        <v>2</v>
      </c>
      <c r="O216" s="4">
        <v>-2</v>
      </c>
    </row>
    <row r="217" spans="1:15" x14ac:dyDescent="0.25">
      <c r="A217" s="3">
        <v>46007</v>
      </c>
      <c r="B217" s="4">
        <v>87630.85</v>
      </c>
      <c r="C217" s="4">
        <v>129.34</v>
      </c>
      <c r="D217" s="5">
        <v>677.52319468068663</v>
      </c>
      <c r="E217" s="5">
        <f t="shared" si="10"/>
        <v>667.0881429456872</v>
      </c>
      <c r="F217" s="5">
        <f t="shared" si="11"/>
        <v>10.435051734999433</v>
      </c>
      <c r="G217" s="4">
        <f t="shared" si="14"/>
        <v>16.430367976302055</v>
      </c>
      <c r="H217" s="5">
        <f t="shared" si="12"/>
        <v>0.63510760988738524</v>
      </c>
      <c r="I217" s="4" t="str">
        <f t="shared" si="13"/>
        <v>Neutral</v>
      </c>
      <c r="N217" s="4">
        <v>2</v>
      </c>
      <c r="O217" s="4">
        <v>-2</v>
      </c>
    </row>
    <row r="218" spans="1:15" x14ac:dyDescent="0.25">
      <c r="A218" s="3">
        <v>46008</v>
      </c>
      <c r="B218" s="4">
        <v>86283.3</v>
      </c>
      <c r="C218" s="4">
        <v>123.17</v>
      </c>
      <c r="D218" s="5">
        <v>700.52204270520417</v>
      </c>
      <c r="E218" s="5">
        <f t="shared" si="10"/>
        <v>666.97985347350846</v>
      </c>
      <c r="F218" s="5">
        <f t="shared" si="11"/>
        <v>33.542189231695716</v>
      </c>
      <c r="G218" s="4">
        <f t="shared" si="14"/>
        <v>16.189198884030489</v>
      </c>
      <c r="H218" s="5">
        <f t="shared" si="12"/>
        <v>2.0718869087946494</v>
      </c>
      <c r="I218" s="4" t="str">
        <f t="shared" si="13"/>
        <v>BTC rich vs SOL</v>
      </c>
      <c r="N218" s="4">
        <v>2</v>
      </c>
      <c r="O218" s="4">
        <v>-2</v>
      </c>
    </row>
    <row r="219" spans="1:15" x14ac:dyDescent="0.25">
      <c r="A219" s="3">
        <v>46009</v>
      </c>
      <c r="B219" s="4">
        <v>85300</v>
      </c>
      <c r="C219" s="4">
        <v>119.69</v>
      </c>
      <c r="D219" s="5">
        <v>712.67440888963154</v>
      </c>
      <c r="E219" s="5">
        <f t="shared" si="10"/>
        <v>668.72714966336741</v>
      </c>
      <c r="F219" s="5">
        <f t="shared" si="11"/>
        <v>43.947259226264123</v>
      </c>
      <c r="G219" s="4">
        <f t="shared" si="14"/>
        <v>18.148619319014447</v>
      </c>
      <c r="H219" s="5">
        <f t="shared" si="12"/>
        <v>2.4215208029748161</v>
      </c>
      <c r="I219" s="4" t="str">
        <f t="shared" si="13"/>
        <v>BTC rich vs SOL</v>
      </c>
      <c r="N219" s="4">
        <v>2</v>
      </c>
      <c r="O219" s="4">
        <v>-2</v>
      </c>
    </row>
    <row r="220" spans="1:15" x14ac:dyDescent="0.25">
      <c r="A220" s="3">
        <v>46010</v>
      </c>
      <c r="B220" s="4">
        <v>88196.84</v>
      </c>
      <c r="C220" s="4">
        <v>126.29</v>
      </c>
      <c r="D220" s="5">
        <v>698.36756671153682</v>
      </c>
      <c r="E220" s="5">
        <f t="shared" si="10"/>
        <v>669.8064554150659</v>
      </c>
      <c r="F220" s="5">
        <f t="shared" si="11"/>
        <v>28.561111296470926</v>
      </c>
      <c r="G220" s="4">
        <f t="shared" si="14"/>
        <v>18.926268578012216</v>
      </c>
      <c r="H220" s="5">
        <f t="shared" si="12"/>
        <v>1.5090724924855017</v>
      </c>
      <c r="I220" s="4" t="str">
        <f t="shared" si="13"/>
        <v>Neutral</v>
      </c>
      <c r="N220" s="4">
        <v>2</v>
      </c>
      <c r="O220" s="4">
        <v>-2</v>
      </c>
    </row>
    <row r="221" spans="1:15" x14ac:dyDescent="0.25">
      <c r="A221" s="3">
        <v>46011</v>
      </c>
      <c r="B221" s="4">
        <v>88394.5</v>
      </c>
      <c r="C221" s="4">
        <v>125.92</v>
      </c>
      <c r="D221" s="5">
        <v>701.98935832274458</v>
      </c>
      <c r="E221" s="5">
        <f t="shared" si="10"/>
        <v>671.52785313889387</v>
      </c>
      <c r="F221" s="5">
        <f t="shared" si="11"/>
        <v>30.461505183850704</v>
      </c>
      <c r="G221" s="4">
        <f t="shared" si="14"/>
        <v>19.436984617905001</v>
      </c>
      <c r="H221" s="5">
        <f t="shared" si="12"/>
        <v>1.5671929459567568</v>
      </c>
      <c r="I221" s="4" t="str">
        <f t="shared" si="13"/>
        <v>Neutral</v>
      </c>
      <c r="N221" s="4">
        <v>2</v>
      </c>
      <c r="O221" s="4">
        <v>-2</v>
      </c>
    </row>
    <row r="222" spans="1:15" x14ac:dyDescent="0.25">
      <c r="A222" s="3">
        <v>46012</v>
      </c>
      <c r="B222" s="4">
        <v>88656.95</v>
      </c>
      <c r="C222" s="4">
        <v>126.11</v>
      </c>
      <c r="D222" s="5">
        <v>703.01284592815796</v>
      </c>
      <c r="E222" s="5">
        <f t="shared" si="10"/>
        <v>672.93720477217744</v>
      </c>
      <c r="F222" s="5">
        <f t="shared" si="11"/>
        <v>30.07564115598052</v>
      </c>
      <c r="G222" s="4">
        <f t="shared" si="14"/>
        <v>20.147103271164099</v>
      </c>
      <c r="H222" s="5">
        <f t="shared" si="12"/>
        <v>1.4928022530676566</v>
      </c>
      <c r="I222" s="4" t="str">
        <f t="shared" si="13"/>
        <v>Neutral</v>
      </c>
      <c r="N222" s="4">
        <v>2</v>
      </c>
      <c r="O222" s="4">
        <v>-2</v>
      </c>
    </row>
    <row r="223" spans="1:15" x14ac:dyDescent="0.25">
      <c r="A223" s="3">
        <v>46013</v>
      </c>
      <c r="B223" s="4">
        <v>88304.51</v>
      </c>
      <c r="C223" s="4">
        <v>125.96</v>
      </c>
      <c r="D223" s="5">
        <v>701.05200063512223</v>
      </c>
      <c r="E223" s="5">
        <f t="shared" si="10"/>
        <v>674.20933140416787</v>
      </c>
      <c r="F223" s="5">
        <f t="shared" si="11"/>
        <v>26.842669230954357</v>
      </c>
      <c r="G223" s="4">
        <f t="shared" si="14"/>
        <v>20.688308737804814</v>
      </c>
      <c r="H223" s="5">
        <f t="shared" si="12"/>
        <v>1.2974801164825698</v>
      </c>
      <c r="I223" s="4" t="str">
        <f t="shared" si="13"/>
        <v>Neutral</v>
      </c>
      <c r="N223" s="4">
        <v>2</v>
      </c>
      <c r="O223" s="4">
        <v>-2</v>
      </c>
    </row>
    <row r="224" spans="1:15" x14ac:dyDescent="0.25">
      <c r="A224" s="3">
        <v>46014</v>
      </c>
      <c r="B224" s="4">
        <v>87328.71</v>
      </c>
      <c r="C224" s="4">
        <v>123.86</v>
      </c>
      <c r="D224" s="5">
        <v>705.0598256095592</v>
      </c>
      <c r="E224" s="5">
        <f t="shared" ref="E224:E287" si="15">AVERAGE(D195:D224)</f>
        <v>675.53767921611495</v>
      </c>
      <c r="F224" s="5">
        <f t="shared" ref="F224:F287" si="16">(D224-E224)</f>
        <v>29.522146393444245</v>
      </c>
      <c r="G224" s="4">
        <f t="shared" si="14"/>
        <v>21.358997350841992</v>
      </c>
      <c r="H224" s="5">
        <f t="shared" ref="H224:H287" si="17">(F224/G224)</f>
        <v>1.3821878390878892</v>
      </c>
      <c r="I224" s="4" t="str">
        <f t="shared" ref="I224:I287" si="18">IF(H224&gt;2, "BTC rich vs SOL", IF(H224&lt;-2,"BTC cheap vs SOL","Neutral"))</f>
        <v>Neutral</v>
      </c>
      <c r="N224" s="4">
        <v>2</v>
      </c>
      <c r="O224" s="4">
        <v>-2</v>
      </c>
    </row>
    <row r="225" spans="1:15" x14ac:dyDescent="0.25">
      <c r="A225" s="3">
        <v>46015</v>
      </c>
      <c r="B225" s="4">
        <v>87826.28</v>
      </c>
      <c r="C225" s="4">
        <v>122.54</v>
      </c>
      <c r="D225" s="5">
        <v>716.71519503835475</v>
      </c>
      <c r="E225" s="5">
        <f t="shared" si="15"/>
        <v>678.11024737442631</v>
      </c>
      <c r="F225" s="5">
        <f t="shared" si="16"/>
        <v>38.604947663928442</v>
      </c>
      <c r="G225" s="4">
        <f t="shared" ref="G225:G288" si="19">STDEV(D196:D225)</f>
        <v>21.520699566895054</v>
      </c>
      <c r="H225" s="5">
        <f t="shared" si="17"/>
        <v>1.7938518933331429</v>
      </c>
      <c r="I225" s="4" t="str">
        <f t="shared" si="18"/>
        <v>Neutral</v>
      </c>
      <c r="N225" s="4">
        <v>2</v>
      </c>
      <c r="O225" s="4">
        <v>-2</v>
      </c>
    </row>
    <row r="226" spans="1:15" x14ac:dyDescent="0.25">
      <c r="A226" s="3">
        <v>46016</v>
      </c>
      <c r="B226" s="4">
        <v>87460.82</v>
      </c>
      <c r="C226" s="4">
        <v>120</v>
      </c>
      <c r="D226" s="5">
        <v>728.84016666666673</v>
      </c>
      <c r="E226" s="5">
        <f t="shared" si="15"/>
        <v>681.41319899642792</v>
      </c>
      <c r="F226" s="5">
        <f t="shared" si="16"/>
        <v>47.42696767023881</v>
      </c>
      <c r="G226" s="4">
        <f t="shared" si="19"/>
        <v>21.446611966296302</v>
      </c>
      <c r="H226" s="5">
        <f t="shared" si="17"/>
        <v>2.2113967345877783</v>
      </c>
      <c r="I226" s="4" t="str">
        <f t="shared" si="18"/>
        <v>BTC rich vs SOL</v>
      </c>
      <c r="N226" s="4">
        <v>2</v>
      </c>
      <c r="O226" s="4">
        <v>-2</v>
      </c>
    </row>
    <row r="227" spans="1:15" x14ac:dyDescent="0.25">
      <c r="A227" s="3">
        <v>46017</v>
      </c>
      <c r="B227" s="4">
        <v>87338.29</v>
      </c>
      <c r="C227" s="4">
        <v>122.18</v>
      </c>
      <c r="D227" s="5">
        <v>714.832951383205</v>
      </c>
      <c r="E227" s="5">
        <f t="shared" si="15"/>
        <v>684.12432302048035</v>
      </c>
      <c r="F227" s="5">
        <f t="shared" si="16"/>
        <v>30.708628362724653</v>
      </c>
      <c r="G227" s="4">
        <f t="shared" si="19"/>
        <v>20.290462736642599</v>
      </c>
      <c r="H227" s="5">
        <f t="shared" si="17"/>
        <v>1.5134513569898955</v>
      </c>
      <c r="I227" s="4" t="str">
        <f t="shared" si="18"/>
        <v>Neutral</v>
      </c>
      <c r="N227" s="4">
        <v>2</v>
      </c>
      <c r="O227" s="4">
        <v>-2</v>
      </c>
    </row>
    <row r="228" spans="1:15" x14ac:dyDescent="0.25">
      <c r="A228" s="3">
        <v>46018</v>
      </c>
      <c r="B228" s="4">
        <v>87931.94</v>
      </c>
      <c r="C228" s="4">
        <v>124.67</v>
      </c>
      <c r="D228" s="5">
        <v>705.31755835405477</v>
      </c>
      <c r="E228" s="5">
        <f t="shared" si="15"/>
        <v>686.04409686282247</v>
      </c>
      <c r="F228" s="5">
        <f t="shared" si="16"/>
        <v>19.273461491232297</v>
      </c>
      <c r="G228" s="4">
        <f t="shared" si="19"/>
        <v>19.434250072280207</v>
      </c>
      <c r="H228" s="5">
        <f t="shared" si="17"/>
        <v>0.99172653534610788</v>
      </c>
      <c r="I228" s="4" t="str">
        <f t="shared" si="18"/>
        <v>Neutral</v>
      </c>
      <c r="N228" s="4">
        <v>2</v>
      </c>
      <c r="O228" s="4">
        <v>-2</v>
      </c>
    </row>
    <row r="229" spans="1:15" x14ac:dyDescent="0.25">
      <c r="A229" s="3">
        <v>46019</v>
      </c>
      <c r="B229" s="4">
        <v>87724.87</v>
      </c>
      <c r="C229" s="4">
        <v>125.34</v>
      </c>
      <c r="D229" s="5">
        <v>699.89524493378008</v>
      </c>
      <c r="E229" s="5">
        <f t="shared" si="15"/>
        <v>687.33235775455455</v>
      </c>
      <c r="F229" s="5">
        <f t="shared" si="16"/>
        <v>12.562887179225527</v>
      </c>
      <c r="G229" s="4">
        <f t="shared" si="19"/>
        <v>19.010163112911385</v>
      </c>
      <c r="H229" s="5">
        <f t="shared" si="17"/>
        <v>0.66085109867852865</v>
      </c>
      <c r="I229" s="4" t="str">
        <f t="shared" si="18"/>
        <v>Neutral</v>
      </c>
      <c r="N229" s="4">
        <v>2</v>
      </c>
      <c r="O229" s="4">
        <v>-2</v>
      </c>
    </row>
    <row r="230" spans="1:15" x14ac:dyDescent="0.25">
      <c r="A230" s="3">
        <v>46020</v>
      </c>
      <c r="B230" s="4">
        <v>87200.26</v>
      </c>
      <c r="C230" s="4">
        <v>123.26</v>
      </c>
      <c r="D230" s="5">
        <v>707.44978095083559</v>
      </c>
      <c r="E230" s="5">
        <f t="shared" si="15"/>
        <v>688.65287171491843</v>
      </c>
      <c r="F230" s="5">
        <f t="shared" si="16"/>
        <v>18.796909235917155</v>
      </c>
      <c r="G230" s="4">
        <f t="shared" si="19"/>
        <v>18.984956762812352</v>
      </c>
      <c r="H230" s="5">
        <f t="shared" si="17"/>
        <v>0.99009491940147354</v>
      </c>
      <c r="I230" s="4" t="str">
        <f t="shared" si="18"/>
        <v>Neutral</v>
      </c>
      <c r="N230" s="4">
        <v>2</v>
      </c>
      <c r="O230" s="4">
        <v>-2</v>
      </c>
    </row>
    <row r="231" spans="1:15" x14ac:dyDescent="0.25">
      <c r="A231" s="3">
        <v>46021</v>
      </c>
      <c r="B231" s="4">
        <v>88432.11</v>
      </c>
      <c r="C231" s="4">
        <v>124.99</v>
      </c>
      <c r="D231" s="5">
        <v>707.51348107848628</v>
      </c>
      <c r="E231" s="5">
        <f t="shared" si="15"/>
        <v>689.60220172783136</v>
      </c>
      <c r="F231" s="5">
        <f t="shared" si="16"/>
        <v>17.911279350654922</v>
      </c>
      <c r="G231" s="4">
        <f t="shared" si="19"/>
        <v>19.19822541803736</v>
      </c>
      <c r="H231" s="5">
        <f t="shared" si="17"/>
        <v>0.93296536323751522</v>
      </c>
      <c r="I231" s="4" t="str">
        <f t="shared" si="18"/>
        <v>Neutral</v>
      </c>
      <c r="N231" s="4">
        <v>2</v>
      </c>
      <c r="O231" s="4">
        <v>-2</v>
      </c>
    </row>
    <row r="232" spans="1:15" x14ac:dyDescent="0.25">
      <c r="A232" s="3">
        <v>46022</v>
      </c>
      <c r="B232" s="4">
        <v>87709.88</v>
      </c>
      <c r="C232" s="4">
        <v>124.8</v>
      </c>
      <c r="D232" s="5">
        <v>702.80352564102566</v>
      </c>
      <c r="E232" s="5">
        <f t="shared" si="15"/>
        <v>690.35554217243759</v>
      </c>
      <c r="F232" s="5">
        <f t="shared" si="16"/>
        <v>12.447983468588063</v>
      </c>
      <c r="G232" s="4">
        <f t="shared" si="19"/>
        <v>19.260012257600707</v>
      </c>
      <c r="H232" s="5">
        <f t="shared" si="17"/>
        <v>0.64631233366300855</v>
      </c>
      <c r="I232" s="4" t="str">
        <f t="shared" si="18"/>
        <v>Neutral</v>
      </c>
      <c r="N232" s="4">
        <v>2</v>
      </c>
      <c r="O232" s="4">
        <v>-2</v>
      </c>
    </row>
    <row r="233" spans="1:15" x14ac:dyDescent="0.25">
      <c r="A233" s="3">
        <v>46023</v>
      </c>
      <c r="B233" s="4">
        <v>88872.33</v>
      </c>
      <c r="C233" s="4">
        <v>127.25</v>
      </c>
      <c r="D233" s="5">
        <v>698.40730844793711</v>
      </c>
      <c r="E233" s="5">
        <f t="shared" si="15"/>
        <v>691.60845072168388</v>
      </c>
      <c r="F233" s="5">
        <f t="shared" si="16"/>
        <v>6.7988577262532317</v>
      </c>
      <c r="G233" s="4">
        <f t="shared" si="19"/>
        <v>18.47914617413948</v>
      </c>
      <c r="H233" s="5">
        <f t="shared" si="17"/>
        <v>0.36792055553777958</v>
      </c>
      <c r="I233" s="4" t="str">
        <f t="shared" si="18"/>
        <v>Neutral</v>
      </c>
      <c r="N233" s="4">
        <v>2</v>
      </c>
      <c r="O233" s="4">
        <v>-2</v>
      </c>
    </row>
    <row r="234" spans="1:15" x14ac:dyDescent="0.25">
      <c r="A234" s="3">
        <v>46024</v>
      </c>
      <c r="B234" s="4">
        <v>89945.17</v>
      </c>
      <c r="C234" s="4">
        <v>132.25</v>
      </c>
      <c r="D234" s="5">
        <v>680.11470699432891</v>
      </c>
      <c r="E234" s="5">
        <f t="shared" si="15"/>
        <v>692.74563288794116</v>
      </c>
      <c r="F234" s="5">
        <f t="shared" si="16"/>
        <v>-12.630925893612243</v>
      </c>
      <c r="G234" s="4">
        <f t="shared" si="19"/>
        <v>16.521665173768177</v>
      </c>
      <c r="H234" s="5">
        <f t="shared" si="17"/>
        <v>-0.76450683153091925</v>
      </c>
      <c r="I234" s="4" t="str">
        <f t="shared" si="18"/>
        <v>Neutral</v>
      </c>
      <c r="N234" s="4">
        <v>2</v>
      </c>
      <c r="O234" s="4">
        <v>-2</v>
      </c>
    </row>
    <row r="235" spans="1:15" x14ac:dyDescent="0.25">
      <c r="A235" s="3">
        <v>46025</v>
      </c>
      <c r="B235" s="4">
        <v>90711.43</v>
      </c>
      <c r="C235" s="4">
        <v>133.41</v>
      </c>
      <c r="D235" s="5">
        <v>679.94475676486013</v>
      </c>
      <c r="E235" s="5">
        <f t="shared" si="15"/>
        <v>693.31476328924111</v>
      </c>
      <c r="F235" s="5">
        <f t="shared" si="16"/>
        <v>-13.370006524380983</v>
      </c>
      <c r="G235" s="4">
        <f t="shared" si="19"/>
        <v>15.732285454120202</v>
      </c>
      <c r="H235" s="5">
        <f t="shared" si="17"/>
        <v>-0.84984515208370115</v>
      </c>
      <c r="I235" s="4" t="str">
        <f t="shared" si="18"/>
        <v>Neutral</v>
      </c>
      <c r="N235" s="4">
        <v>2</v>
      </c>
      <c r="O235" s="4">
        <v>-2</v>
      </c>
    </row>
    <row r="236" spans="1:15" x14ac:dyDescent="0.25">
      <c r="A236" s="3">
        <v>46026</v>
      </c>
      <c r="B236" s="4">
        <v>91500</v>
      </c>
      <c r="C236" s="4">
        <v>134.01</v>
      </c>
      <c r="D236" s="5">
        <v>682.78486680098501</v>
      </c>
      <c r="E236" s="5">
        <f t="shared" si="15"/>
        <v>693.75833108652466</v>
      </c>
      <c r="F236" s="5">
        <f t="shared" si="16"/>
        <v>-10.973464285539649</v>
      </c>
      <c r="G236" s="4">
        <f t="shared" si="19"/>
        <v>15.216162300841086</v>
      </c>
      <c r="H236" s="5">
        <f t="shared" si="17"/>
        <v>-0.72117161138147701</v>
      </c>
      <c r="I236" s="4" t="str">
        <f t="shared" si="18"/>
        <v>Neutral</v>
      </c>
      <c r="N236" s="4">
        <v>2</v>
      </c>
      <c r="O236" s="4">
        <v>-2</v>
      </c>
    </row>
    <row r="237" spans="1:15" x14ac:dyDescent="0.25">
      <c r="A237" s="3">
        <v>46027</v>
      </c>
      <c r="B237" s="4">
        <v>94114.96</v>
      </c>
      <c r="C237" s="4">
        <v>138.06</v>
      </c>
      <c r="D237" s="5">
        <v>681.69607417065049</v>
      </c>
      <c r="E237" s="5">
        <f t="shared" si="15"/>
        <v>693.96484171217571</v>
      </c>
      <c r="F237" s="5">
        <f t="shared" si="16"/>
        <v>-12.268767541525222</v>
      </c>
      <c r="G237" s="4">
        <f t="shared" si="19"/>
        <v>15.000340033664971</v>
      </c>
      <c r="H237" s="5">
        <f t="shared" si="17"/>
        <v>-0.81789929521535287</v>
      </c>
      <c r="I237" s="4" t="str">
        <f t="shared" si="18"/>
        <v>Neutral</v>
      </c>
      <c r="N237" s="4">
        <v>2</v>
      </c>
      <c r="O237" s="4">
        <v>-2</v>
      </c>
    </row>
    <row r="238" spans="1:15" x14ac:dyDescent="0.25">
      <c r="A238" s="3">
        <v>46028</v>
      </c>
      <c r="B238" s="4">
        <v>93794.39</v>
      </c>
      <c r="C238" s="4">
        <v>141.13</v>
      </c>
      <c r="D238" s="5">
        <v>664.59569191525543</v>
      </c>
      <c r="E238" s="5">
        <f t="shared" si="15"/>
        <v>693.32632696597523</v>
      </c>
      <c r="F238" s="5">
        <f t="shared" si="16"/>
        <v>-28.730635050719798</v>
      </c>
      <c r="G238" s="4">
        <f t="shared" si="19"/>
        <v>15.834588875608162</v>
      </c>
      <c r="H238" s="5">
        <f t="shared" si="17"/>
        <v>-1.8144225452532523</v>
      </c>
      <c r="I238" s="4" t="str">
        <f t="shared" si="18"/>
        <v>Neutral</v>
      </c>
      <c r="N238" s="4">
        <v>2</v>
      </c>
      <c r="O238" s="4">
        <v>-2</v>
      </c>
    </row>
    <row r="239" spans="1:15" x14ac:dyDescent="0.25">
      <c r="A239" s="3">
        <v>46029</v>
      </c>
      <c r="B239" s="4">
        <v>91400.76</v>
      </c>
      <c r="C239" s="4">
        <v>136.68</v>
      </c>
      <c r="D239" s="5">
        <v>668.72080772607546</v>
      </c>
      <c r="E239" s="5">
        <f t="shared" si="15"/>
        <v>692.90688302246076</v>
      </c>
      <c r="F239" s="5">
        <f t="shared" si="16"/>
        <v>-24.186075296385297</v>
      </c>
      <c r="G239" s="4">
        <f t="shared" si="19"/>
        <v>16.323150691083018</v>
      </c>
      <c r="H239" s="5">
        <f t="shared" si="17"/>
        <v>-1.4817038544891719</v>
      </c>
      <c r="I239" s="4" t="str">
        <f t="shared" si="18"/>
        <v>Neutral</v>
      </c>
      <c r="N239" s="4">
        <v>2</v>
      </c>
      <c r="O239" s="4">
        <v>-2</v>
      </c>
    </row>
    <row r="240" spans="1:15" x14ac:dyDescent="0.25">
      <c r="A240" s="3">
        <v>46030</v>
      </c>
      <c r="B240" s="4">
        <v>91110.36</v>
      </c>
      <c r="C240" s="4">
        <v>138.49</v>
      </c>
      <c r="D240" s="5">
        <v>657.88403494837166</v>
      </c>
      <c r="E240" s="5">
        <f t="shared" si="15"/>
        <v>692.36732550304976</v>
      </c>
      <c r="F240" s="5">
        <f t="shared" si="16"/>
        <v>-34.483290554678092</v>
      </c>
      <c r="G240" s="4">
        <f t="shared" si="19"/>
        <v>17.21064116822836</v>
      </c>
      <c r="H240" s="5">
        <f t="shared" si="17"/>
        <v>-2.0036028999509816</v>
      </c>
      <c r="I240" s="4" t="str">
        <f t="shared" si="18"/>
        <v>BTC cheap vs SOL</v>
      </c>
      <c r="N240" s="4">
        <v>2</v>
      </c>
      <c r="O240" s="4">
        <v>-2</v>
      </c>
    </row>
    <row r="241" spans="1:15" x14ac:dyDescent="0.25">
      <c r="A241" s="3">
        <v>46031</v>
      </c>
      <c r="B241" s="4">
        <v>90498.43</v>
      </c>
      <c r="C241" s="4">
        <v>136.04</v>
      </c>
      <c r="D241" s="5">
        <v>665.23397530138197</v>
      </c>
      <c r="E241" s="5">
        <f t="shared" si="15"/>
        <v>692.0570409001424</v>
      </c>
      <c r="F241" s="5">
        <f t="shared" si="16"/>
        <v>-26.823065598760422</v>
      </c>
      <c r="G241" s="4">
        <f t="shared" si="19"/>
        <v>17.622072154399333</v>
      </c>
      <c r="H241" s="5">
        <f t="shared" si="17"/>
        <v>-1.5221289167212988</v>
      </c>
      <c r="I241" s="4" t="str">
        <f t="shared" si="18"/>
        <v>Neutral</v>
      </c>
      <c r="N241" s="4">
        <v>2</v>
      </c>
      <c r="O241" s="4">
        <v>-2</v>
      </c>
    </row>
    <row r="242" spans="1:15" x14ac:dyDescent="0.25">
      <c r="A242" s="3">
        <v>46032</v>
      </c>
      <c r="B242" s="4">
        <v>90433.54</v>
      </c>
      <c r="C242" s="4">
        <v>136.13999999999999</v>
      </c>
      <c r="D242" s="5">
        <v>664.26869399147938</v>
      </c>
      <c r="E242" s="5">
        <f t="shared" si="15"/>
        <v>691.53577488322969</v>
      </c>
      <c r="F242" s="5">
        <f t="shared" si="16"/>
        <v>-27.267080891750311</v>
      </c>
      <c r="G242" s="4">
        <f t="shared" si="19"/>
        <v>18.215183753320812</v>
      </c>
      <c r="H242" s="5">
        <f t="shared" si="17"/>
        <v>-1.4969424004179617</v>
      </c>
      <c r="I242" s="4" t="str">
        <f t="shared" si="18"/>
        <v>Neutral</v>
      </c>
      <c r="N242" s="4">
        <v>2</v>
      </c>
      <c r="O242" s="4">
        <v>-2</v>
      </c>
    </row>
    <row r="243" spans="1:15" x14ac:dyDescent="0.25">
      <c r="A243" s="3">
        <v>46033</v>
      </c>
      <c r="B243" s="4">
        <v>90982.41</v>
      </c>
      <c r="C243" s="4">
        <v>139.57</v>
      </c>
      <c r="D243" s="5">
        <v>651.876549401734</v>
      </c>
      <c r="E243" s="5">
        <f t="shared" si="15"/>
        <v>690.52874149696822</v>
      </c>
      <c r="F243" s="5">
        <f t="shared" si="16"/>
        <v>-38.652192095234227</v>
      </c>
      <c r="G243" s="4">
        <f t="shared" si="19"/>
        <v>19.542311654870183</v>
      </c>
      <c r="H243" s="5">
        <f t="shared" si="17"/>
        <v>-1.977872054128337</v>
      </c>
      <c r="I243" s="4" t="str">
        <f t="shared" si="18"/>
        <v>Neutral</v>
      </c>
      <c r="N243" s="4">
        <v>2</v>
      </c>
      <c r="O243" s="4">
        <v>-2</v>
      </c>
    </row>
    <row r="244" spans="1:15" x14ac:dyDescent="0.25">
      <c r="A244" s="3">
        <v>46034</v>
      </c>
      <c r="B244" s="4">
        <v>91258.72</v>
      </c>
      <c r="C244" s="4">
        <v>139.37</v>
      </c>
      <c r="D244" s="5">
        <v>654.79457559015566</v>
      </c>
      <c r="E244" s="5">
        <f t="shared" si="15"/>
        <v>689.74773398459365</v>
      </c>
      <c r="F244" s="5">
        <f t="shared" si="16"/>
        <v>-34.953158394437992</v>
      </c>
      <c r="G244" s="4">
        <f t="shared" si="19"/>
        <v>20.495921274636885</v>
      </c>
      <c r="H244" s="5">
        <f t="shared" si="17"/>
        <v>-1.7053714212735351</v>
      </c>
      <c r="I244" s="4" t="str">
        <f t="shared" si="18"/>
        <v>Neutral</v>
      </c>
      <c r="N244" s="4">
        <v>2</v>
      </c>
      <c r="O244" s="4">
        <v>-2</v>
      </c>
    </row>
    <row r="245" spans="1:15" x14ac:dyDescent="0.25">
      <c r="A245" s="3">
        <v>46035</v>
      </c>
      <c r="B245" s="4">
        <v>95389.66</v>
      </c>
      <c r="C245" s="4">
        <v>145.38</v>
      </c>
      <c r="D245" s="5">
        <v>656.14018434447655</v>
      </c>
      <c r="E245" s="5">
        <f t="shared" si="15"/>
        <v>688.91679074507499</v>
      </c>
      <c r="F245" s="5">
        <f t="shared" si="16"/>
        <v>-32.776606400598439</v>
      </c>
      <c r="G245" s="4">
        <f t="shared" si="19"/>
        <v>21.347554852804365</v>
      </c>
      <c r="H245" s="5">
        <f t="shared" si="17"/>
        <v>-1.5353798890130348</v>
      </c>
      <c r="I245" s="4" t="str">
        <f t="shared" si="18"/>
        <v>Neutral</v>
      </c>
      <c r="N245" s="4">
        <v>2</v>
      </c>
      <c r="O245" s="4">
        <v>-2</v>
      </c>
    </row>
    <row r="246" spans="1:15" x14ac:dyDescent="0.25">
      <c r="A246" s="3">
        <v>46036</v>
      </c>
      <c r="B246" s="4">
        <v>97013.66</v>
      </c>
      <c r="C246" s="4">
        <v>146.88999999999999</v>
      </c>
      <c r="D246" s="5">
        <v>660.4510858465519</v>
      </c>
      <c r="E246" s="5">
        <f t="shared" si="15"/>
        <v>688.34941532577636</v>
      </c>
      <c r="F246" s="5">
        <f t="shared" si="16"/>
        <v>-27.898329479224458</v>
      </c>
      <c r="G246" s="4">
        <f t="shared" si="19"/>
        <v>21.881726352639671</v>
      </c>
      <c r="H246" s="5">
        <f t="shared" si="17"/>
        <v>-1.2749601667447497</v>
      </c>
      <c r="I246" s="4" t="str">
        <f t="shared" si="18"/>
        <v>Neutral</v>
      </c>
      <c r="N246" s="4">
        <v>2</v>
      </c>
      <c r="O246" s="4">
        <v>-2</v>
      </c>
    </row>
    <row r="247" spans="1:15" x14ac:dyDescent="0.25">
      <c r="A247" s="3">
        <v>46037</v>
      </c>
      <c r="B247" s="4">
        <v>95583.08</v>
      </c>
      <c r="C247" s="4">
        <v>142.35</v>
      </c>
      <c r="D247" s="5">
        <v>671.46526167896036</v>
      </c>
      <c r="E247" s="5">
        <f t="shared" si="15"/>
        <v>688.14748422571893</v>
      </c>
      <c r="F247" s="5">
        <f t="shared" si="16"/>
        <v>-16.682222546758567</v>
      </c>
      <c r="G247" s="4">
        <f t="shared" si="19"/>
        <v>22.012639631482863</v>
      </c>
      <c r="H247" s="5">
        <f t="shared" si="17"/>
        <v>-0.75784743792831466</v>
      </c>
      <c r="I247" s="4" t="str">
        <f t="shared" si="18"/>
        <v>Neutral</v>
      </c>
      <c r="N247" s="4">
        <v>2</v>
      </c>
      <c r="O247" s="4">
        <v>-2</v>
      </c>
    </row>
    <row r="248" spans="1:15" x14ac:dyDescent="0.25">
      <c r="A248" s="3">
        <v>46038</v>
      </c>
      <c r="B248" s="4">
        <v>95571.68</v>
      </c>
      <c r="C248" s="4">
        <v>144.9</v>
      </c>
      <c r="D248" s="5">
        <v>659.56991028295374</v>
      </c>
      <c r="E248" s="5">
        <f t="shared" si="15"/>
        <v>686.78241314497734</v>
      </c>
      <c r="F248" s="5">
        <f t="shared" si="16"/>
        <v>-27.212502862023598</v>
      </c>
      <c r="G248" s="4">
        <f t="shared" si="19"/>
        <v>22.483540543717037</v>
      </c>
      <c r="H248" s="5">
        <f t="shared" si="17"/>
        <v>-1.2103299660083142</v>
      </c>
      <c r="I248" s="4" t="str">
        <f t="shared" si="18"/>
        <v>Neutral</v>
      </c>
      <c r="N248" s="4">
        <v>2</v>
      </c>
      <c r="O248" s="4">
        <v>-2</v>
      </c>
    </row>
    <row r="249" spans="1:15" x14ac:dyDescent="0.25">
      <c r="A249" s="3">
        <v>46039</v>
      </c>
      <c r="B249" s="4">
        <v>95139.13</v>
      </c>
      <c r="C249" s="4">
        <v>143.75</v>
      </c>
      <c r="D249" s="5">
        <v>661.8374260869565</v>
      </c>
      <c r="E249" s="5">
        <f t="shared" si="15"/>
        <v>685.08784705155483</v>
      </c>
      <c r="F249" s="5">
        <f t="shared" si="16"/>
        <v>-23.250420964598334</v>
      </c>
      <c r="G249" s="4">
        <f t="shared" si="19"/>
        <v>22.380324313066001</v>
      </c>
      <c r="H249" s="5">
        <f t="shared" si="17"/>
        <v>-1.0388777499092967</v>
      </c>
      <c r="I249" s="4" t="str">
        <f t="shared" si="18"/>
        <v>Neutral</v>
      </c>
      <c r="N249" s="4">
        <v>2</v>
      </c>
      <c r="O249" s="4">
        <v>-2</v>
      </c>
    </row>
    <row r="250" spans="1:15" x14ac:dyDescent="0.25">
      <c r="A250" s="3">
        <v>46040</v>
      </c>
      <c r="B250" s="4">
        <v>93752.57</v>
      </c>
      <c r="C250" s="4">
        <v>137.81</v>
      </c>
      <c r="D250" s="5">
        <v>680.30309846890646</v>
      </c>
      <c r="E250" s="5">
        <f t="shared" si="15"/>
        <v>684.48569811013363</v>
      </c>
      <c r="F250" s="5">
        <f t="shared" si="16"/>
        <v>-4.1825996412271707</v>
      </c>
      <c r="G250" s="4">
        <f t="shared" si="19"/>
        <v>22.253363898136911</v>
      </c>
      <c r="H250" s="5">
        <f t="shared" si="17"/>
        <v>-0.18795359031437692</v>
      </c>
      <c r="I250" s="4" t="str">
        <f t="shared" si="18"/>
        <v>Neutral</v>
      </c>
      <c r="N250" s="4">
        <v>2</v>
      </c>
      <c r="O250" s="4">
        <v>-2</v>
      </c>
    </row>
    <row r="251" spans="1:15" x14ac:dyDescent="0.25">
      <c r="A251" s="3">
        <v>46041</v>
      </c>
      <c r="B251" s="4">
        <v>92628.77</v>
      </c>
      <c r="C251" s="4">
        <v>133.41</v>
      </c>
      <c r="D251" s="5">
        <v>694.3165429877821</v>
      </c>
      <c r="E251" s="5">
        <f t="shared" si="15"/>
        <v>684.22993759896838</v>
      </c>
      <c r="F251" s="5">
        <f t="shared" si="16"/>
        <v>10.086605388813723</v>
      </c>
      <c r="G251" s="4">
        <f t="shared" si="19"/>
        <v>22.088738686225192</v>
      </c>
      <c r="H251" s="5">
        <f t="shared" si="17"/>
        <v>0.45664017000227602</v>
      </c>
      <c r="I251" s="4" t="str">
        <f t="shared" si="18"/>
        <v>Neutral</v>
      </c>
      <c r="N251" s="4">
        <v>2</v>
      </c>
      <c r="O251" s="4">
        <v>-2</v>
      </c>
    </row>
    <row r="252" spans="1:15" x14ac:dyDescent="0.25">
      <c r="A252" s="3">
        <v>46042</v>
      </c>
      <c r="B252" s="4">
        <v>88416.88</v>
      </c>
      <c r="C252" s="4">
        <v>125.81</v>
      </c>
      <c r="D252" s="5">
        <v>702.78101899690012</v>
      </c>
      <c r="E252" s="5">
        <f t="shared" si="15"/>
        <v>684.2222100345931</v>
      </c>
      <c r="F252" s="5">
        <f t="shared" si="16"/>
        <v>18.558808962307012</v>
      </c>
      <c r="G252" s="4">
        <f t="shared" si="19"/>
        <v>22.081980569260157</v>
      </c>
      <c r="H252" s="5">
        <f t="shared" si="17"/>
        <v>0.84045038007787787</v>
      </c>
      <c r="I252" s="4" t="str">
        <f t="shared" si="18"/>
        <v>Neutral</v>
      </c>
      <c r="N252" s="4">
        <v>2</v>
      </c>
      <c r="O252" s="4">
        <v>-2</v>
      </c>
    </row>
    <row r="253" spans="1:15" x14ac:dyDescent="0.25">
      <c r="A253" s="3">
        <v>46043</v>
      </c>
      <c r="B253" s="4">
        <v>89615.97</v>
      </c>
      <c r="C253" s="4">
        <v>129.38999999999999</v>
      </c>
      <c r="D253" s="5">
        <v>692.60352422907499</v>
      </c>
      <c r="E253" s="5">
        <f t="shared" si="15"/>
        <v>683.94059415439153</v>
      </c>
      <c r="F253" s="5">
        <f t="shared" si="16"/>
        <v>8.6629300746834588</v>
      </c>
      <c r="G253" s="4">
        <f t="shared" si="19"/>
        <v>21.913173066023802</v>
      </c>
      <c r="H253" s="5">
        <f t="shared" si="17"/>
        <v>0.39532978855149287</v>
      </c>
      <c r="I253" s="4" t="str">
        <f t="shared" si="18"/>
        <v>Neutral</v>
      </c>
      <c r="N253" s="4">
        <v>2</v>
      </c>
      <c r="O253" s="4">
        <v>-2</v>
      </c>
    </row>
    <row r="254" spans="1:15" x14ac:dyDescent="0.25">
      <c r="A254" s="3">
        <v>46044</v>
      </c>
      <c r="B254" s="4">
        <v>89579.27</v>
      </c>
      <c r="C254" s="4">
        <v>128.38999999999999</v>
      </c>
      <c r="D254" s="5">
        <v>697.71220500038953</v>
      </c>
      <c r="E254" s="5">
        <f t="shared" si="15"/>
        <v>683.69567346741917</v>
      </c>
      <c r="F254" s="5">
        <f t="shared" si="16"/>
        <v>14.016531532970362</v>
      </c>
      <c r="G254" s="4">
        <f t="shared" si="19"/>
        <v>21.709098048715287</v>
      </c>
      <c r="H254" s="5">
        <f t="shared" si="17"/>
        <v>0.64565241271273544</v>
      </c>
      <c r="I254" s="4" t="str">
        <f t="shared" si="18"/>
        <v>Neutral</v>
      </c>
      <c r="N254" s="4">
        <v>2</v>
      </c>
      <c r="O254" s="4">
        <v>-2</v>
      </c>
    </row>
    <row r="255" spans="1:15" x14ac:dyDescent="0.25">
      <c r="A255" s="3">
        <v>46045</v>
      </c>
      <c r="B255" s="4">
        <v>89626.83</v>
      </c>
      <c r="C255" s="4">
        <v>127.41</v>
      </c>
      <c r="D255" s="5">
        <v>703.45208382387568</v>
      </c>
      <c r="E255" s="5">
        <f t="shared" si="15"/>
        <v>683.2535697602699</v>
      </c>
      <c r="F255" s="5">
        <f t="shared" si="16"/>
        <v>20.198514063605785</v>
      </c>
      <c r="G255" s="4">
        <f t="shared" si="19"/>
        <v>21.141091283724386</v>
      </c>
      <c r="H255" s="5">
        <f t="shared" si="17"/>
        <v>0.9554149212323656</v>
      </c>
      <c r="I255" s="4" t="str">
        <f t="shared" si="18"/>
        <v>Neutral</v>
      </c>
      <c r="N255" s="4">
        <v>2</v>
      </c>
      <c r="O255" s="4">
        <v>-2</v>
      </c>
    </row>
    <row r="256" spans="1:15" x14ac:dyDescent="0.25">
      <c r="A256" s="3">
        <v>46046</v>
      </c>
      <c r="B256" s="4">
        <v>89272.04</v>
      </c>
      <c r="C256" s="4">
        <v>127.21</v>
      </c>
      <c r="D256" s="5">
        <v>701.76904331420485</v>
      </c>
      <c r="E256" s="5">
        <f t="shared" si="15"/>
        <v>682.3511989818544</v>
      </c>
      <c r="F256" s="5">
        <f t="shared" si="16"/>
        <v>19.417844332350455</v>
      </c>
      <c r="G256" s="4">
        <f t="shared" si="19"/>
        <v>19.653624068809243</v>
      </c>
      <c r="H256" s="5">
        <f t="shared" si="17"/>
        <v>0.98800324379700655</v>
      </c>
      <c r="I256" s="4" t="str">
        <f t="shared" si="18"/>
        <v>Neutral</v>
      </c>
      <c r="N256" s="4">
        <v>2</v>
      </c>
      <c r="O256" s="4">
        <v>-2</v>
      </c>
    </row>
    <row r="257" spans="1:15" x14ac:dyDescent="0.25">
      <c r="A257" s="3">
        <v>46047</v>
      </c>
      <c r="B257" s="4">
        <v>86649.27</v>
      </c>
      <c r="C257" s="4">
        <v>118.92</v>
      </c>
      <c r="D257" s="5">
        <v>728.6349646821393</v>
      </c>
      <c r="E257" s="5">
        <f t="shared" si="15"/>
        <v>682.81126609181911</v>
      </c>
      <c r="F257" s="5">
        <f t="shared" si="16"/>
        <v>45.823698590320191</v>
      </c>
      <c r="G257" s="4">
        <f t="shared" si="19"/>
        <v>20.579916648125796</v>
      </c>
      <c r="H257" s="5">
        <f t="shared" si="17"/>
        <v>2.2266221663484402</v>
      </c>
      <c r="I257" s="4" t="str">
        <f t="shared" si="18"/>
        <v>BTC rich vs SOL</v>
      </c>
      <c r="N257" s="4">
        <v>2</v>
      </c>
      <c r="O257" s="4">
        <v>-2</v>
      </c>
    </row>
    <row r="258" spans="1:15" x14ac:dyDescent="0.25">
      <c r="A258" s="3">
        <v>46048</v>
      </c>
      <c r="B258" s="4">
        <v>88357.77</v>
      </c>
      <c r="C258" s="4">
        <v>124.2</v>
      </c>
      <c r="D258" s="5">
        <v>711.4152173913044</v>
      </c>
      <c r="E258" s="5">
        <f t="shared" si="15"/>
        <v>683.01452139306082</v>
      </c>
      <c r="F258" s="5">
        <f t="shared" si="16"/>
        <v>28.400695998243577</v>
      </c>
      <c r="G258" s="4">
        <f t="shared" si="19"/>
        <v>20.838351219687116</v>
      </c>
      <c r="H258" s="5">
        <f t="shared" si="17"/>
        <v>1.3629051405665868</v>
      </c>
      <c r="I258" s="4" t="str">
        <f t="shared" si="18"/>
        <v>Neutral</v>
      </c>
      <c r="N258" s="4">
        <v>2</v>
      </c>
      <c r="O258" s="4">
        <v>-2</v>
      </c>
    </row>
    <row r="259" spans="1:15" x14ac:dyDescent="0.25">
      <c r="A259" s="3">
        <v>46049</v>
      </c>
      <c r="B259" s="4">
        <v>89260.5</v>
      </c>
      <c r="C259" s="4">
        <v>127.44</v>
      </c>
      <c r="D259" s="5">
        <v>700.41195856873821</v>
      </c>
      <c r="E259" s="5">
        <f t="shared" si="15"/>
        <v>683.0317451808927</v>
      </c>
      <c r="F259" s="5">
        <f t="shared" si="16"/>
        <v>17.380213387845515</v>
      </c>
      <c r="G259" s="4">
        <f t="shared" si="19"/>
        <v>20.852993383365153</v>
      </c>
      <c r="H259" s="5">
        <f t="shared" si="17"/>
        <v>0.83346371757399862</v>
      </c>
      <c r="I259" s="4" t="str">
        <f t="shared" si="18"/>
        <v>Neutral</v>
      </c>
      <c r="N259" s="4">
        <v>2</v>
      </c>
      <c r="O259" s="4">
        <v>-2</v>
      </c>
    </row>
    <row r="260" spans="1:15" x14ac:dyDescent="0.25">
      <c r="A260" s="3">
        <v>46050</v>
      </c>
      <c r="B260" s="4">
        <v>89249.46</v>
      </c>
      <c r="C260" s="4">
        <v>125.21</v>
      </c>
      <c r="D260" s="5">
        <v>712.79817905918071</v>
      </c>
      <c r="E260" s="5">
        <f t="shared" si="15"/>
        <v>683.2100251178374</v>
      </c>
      <c r="F260" s="5">
        <f t="shared" si="16"/>
        <v>29.588153941343307</v>
      </c>
      <c r="G260" s="4">
        <f t="shared" si="19"/>
        <v>21.090461368413912</v>
      </c>
      <c r="H260" s="5">
        <f t="shared" si="17"/>
        <v>1.4029163907080737</v>
      </c>
      <c r="I260" s="4" t="str">
        <f t="shared" si="18"/>
        <v>Neutral</v>
      </c>
      <c r="N260" s="4">
        <v>2</v>
      </c>
      <c r="O260" s="4">
        <v>-2</v>
      </c>
    </row>
    <row r="261" spans="1:15" x14ac:dyDescent="0.25">
      <c r="A261" s="3">
        <v>46051</v>
      </c>
      <c r="B261" s="4">
        <v>84684.39</v>
      </c>
      <c r="C261" s="4">
        <v>117.78</v>
      </c>
      <c r="D261" s="5">
        <v>719.00483953132959</v>
      </c>
      <c r="E261" s="5">
        <f t="shared" si="15"/>
        <v>683.59307039959867</v>
      </c>
      <c r="F261" s="5">
        <f t="shared" si="16"/>
        <v>35.411769131730921</v>
      </c>
      <c r="G261" s="4">
        <f t="shared" si="19"/>
        <v>21.644166465715887</v>
      </c>
      <c r="H261" s="5">
        <f t="shared" si="17"/>
        <v>1.6360883745660872</v>
      </c>
      <c r="I261" s="4" t="str">
        <f t="shared" si="18"/>
        <v>Neutral</v>
      </c>
      <c r="N261" s="4">
        <v>2</v>
      </c>
      <c r="O261" s="4">
        <v>-2</v>
      </c>
    </row>
    <row r="262" spans="1:15" x14ac:dyDescent="0.25">
      <c r="A262" s="3">
        <v>46052</v>
      </c>
      <c r="B262" s="4">
        <v>84240.31</v>
      </c>
      <c r="C262" s="4">
        <v>117.55</v>
      </c>
      <c r="D262" s="5">
        <v>716.63385793279451</v>
      </c>
      <c r="E262" s="5">
        <f t="shared" si="15"/>
        <v>684.0540814759911</v>
      </c>
      <c r="F262" s="5">
        <f t="shared" si="16"/>
        <v>32.579776456803415</v>
      </c>
      <c r="G262" s="4">
        <f t="shared" si="19"/>
        <v>22.20741133800653</v>
      </c>
      <c r="H262" s="5">
        <f t="shared" si="17"/>
        <v>1.4670677262164844</v>
      </c>
      <c r="I262" s="4" t="str">
        <f t="shared" si="18"/>
        <v>Neutral</v>
      </c>
      <c r="N262" s="4">
        <v>2</v>
      </c>
      <c r="O262" s="4">
        <v>-2</v>
      </c>
    </row>
    <row r="263" spans="1:15" x14ac:dyDescent="0.25">
      <c r="A263" s="3">
        <v>46053</v>
      </c>
      <c r="B263" s="4">
        <v>78805.8</v>
      </c>
      <c r="C263" s="4">
        <v>105.27</v>
      </c>
      <c r="D263" s="5">
        <v>748.60644058136222</v>
      </c>
      <c r="E263" s="5">
        <f t="shared" si="15"/>
        <v>685.72738588043853</v>
      </c>
      <c r="F263" s="5">
        <f t="shared" si="16"/>
        <v>62.879054700923689</v>
      </c>
      <c r="G263" s="4">
        <f t="shared" si="19"/>
        <v>25.03714340348224</v>
      </c>
      <c r="H263" s="5">
        <f t="shared" si="17"/>
        <v>2.5114308644403214</v>
      </c>
      <c r="I263" s="4" t="str">
        <f t="shared" si="18"/>
        <v>BTC rich vs SOL</v>
      </c>
      <c r="N263" s="4">
        <v>2</v>
      </c>
      <c r="O263" s="4">
        <v>-2</v>
      </c>
    </row>
    <row r="264" spans="1:15" x14ac:dyDescent="0.25">
      <c r="A264" s="3">
        <v>46054</v>
      </c>
      <c r="B264" s="4">
        <v>76934.399999999994</v>
      </c>
      <c r="C264" s="4">
        <v>100.7</v>
      </c>
      <c r="D264" s="5">
        <v>763.99602780536236</v>
      </c>
      <c r="E264" s="5">
        <f t="shared" si="15"/>
        <v>688.52342990747297</v>
      </c>
      <c r="F264" s="5">
        <f t="shared" si="16"/>
        <v>75.472597897889386</v>
      </c>
      <c r="G264" s="4">
        <f t="shared" si="19"/>
        <v>28.791066755607385</v>
      </c>
      <c r="H264" s="5">
        <f t="shared" si="17"/>
        <v>2.6213894239674271</v>
      </c>
      <c r="I264" s="4" t="str">
        <f t="shared" si="18"/>
        <v>BTC rich vs SOL</v>
      </c>
      <c r="N264" s="4">
        <v>2</v>
      </c>
      <c r="O264" s="4">
        <v>-2</v>
      </c>
    </row>
    <row r="265" spans="1:15" x14ac:dyDescent="0.25">
      <c r="A265" s="3">
        <v>46055</v>
      </c>
      <c r="B265" s="4">
        <v>78794.559999999998</v>
      </c>
      <c r="C265" s="4">
        <v>104.55</v>
      </c>
      <c r="D265" s="5">
        <v>753.65432807269246</v>
      </c>
      <c r="E265" s="5">
        <f t="shared" si="15"/>
        <v>690.98041561773414</v>
      </c>
      <c r="F265" s="5">
        <f t="shared" si="16"/>
        <v>62.673912454958327</v>
      </c>
      <c r="G265" s="4">
        <f t="shared" si="19"/>
        <v>31.0872948448547</v>
      </c>
      <c r="H265" s="5">
        <f t="shared" si="17"/>
        <v>2.0160619561058901</v>
      </c>
      <c r="I265" s="4" t="str">
        <f t="shared" si="18"/>
        <v>BTC rich vs SOL</v>
      </c>
      <c r="N265" s="4">
        <v>2</v>
      </c>
      <c r="O265" s="4">
        <v>-2</v>
      </c>
    </row>
    <row r="266" spans="1:15" x14ac:dyDescent="0.25">
      <c r="A266" s="3">
        <v>46056</v>
      </c>
      <c r="B266" s="4">
        <v>75751.88</v>
      </c>
      <c r="C266" s="4">
        <v>97.73</v>
      </c>
      <c r="D266" s="5">
        <v>775.11388519390164</v>
      </c>
      <c r="E266" s="5">
        <f t="shared" si="15"/>
        <v>694.05804956416466</v>
      </c>
      <c r="F266" s="5">
        <f t="shared" si="16"/>
        <v>81.055835629736976</v>
      </c>
      <c r="G266" s="4">
        <f t="shared" si="19"/>
        <v>34.617762972619985</v>
      </c>
      <c r="H266" s="5">
        <f t="shared" si="17"/>
        <v>2.3414521525797598</v>
      </c>
      <c r="I266" s="4" t="str">
        <f t="shared" si="18"/>
        <v>BTC rich vs SOL</v>
      </c>
      <c r="N266" s="4">
        <v>2</v>
      </c>
      <c r="O266" s="4">
        <v>-2</v>
      </c>
    </row>
    <row r="267" spans="1:15" x14ac:dyDescent="0.25">
      <c r="A267" s="3">
        <v>46057</v>
      </c>
      <c r="B267" s="4">
        <v>73160.679999999993</v>
      </c>
      <c r="C267" s="4">
        <v>92.05</v>
      </c>
      <c r="D267" s="5">
        <v>794.79282998370445</v>
      </c>
      <c r="E267" s="5">
        <f t="shared" si="15"/>
        <v>697.82794142459977</v>
      </c>
      <c r="F267" s="5">
        <f t="shared" si="16"/>
        <v>96.964888559104679</v>
      </c>
      <c r="G267" s="4">
        <f t="shared" si="19"/>
        <v>39.093879446430094</v>
      </c>
      <c r="H267" s="5">
        <f t="shared" si="17"/>
        <v>2.4803086808505301</v>
      </c>
      <c r="I267" s="4" t="str">
        <f t="shared" si="18"/>
        <v>BTC rich vs SOL</v>
      </c>
      <c r="N267" s="4">
        <v>2</v>
      </c>
      <c r="O267" s="4">
        <v>-2</v>
      </c>
    </row>
    <row r="268" spans="1:15" x14ac:dyDescent="0.25">
      <c r="A268" s="3">
        <v>46058</v>
      </c>
      <c r="B268" s="4">
        <v>62754.09</v>
      </c>
      <c r="C268" s="4">
        <v>78.239999999999995</v>
      </c>
      <c r="D268" s="5">
        <v>802.07170245398777</v>
      </c>
      <c r="E268" s="5">
        <f t="shared" si="15"/>
        <v>702.41047510922419</v>
      </c>
      <c r="F268" s="5">
        <f t="shared" si="16"/>
        <v>99.661227344763574</v>
      </c>
      <c r="G268" s="4">
        <f t="shared" si="19"/>
        <v>42.932987780062767</v>
      </c>
      <c r="H268" s="5">
        <f t="shared" si="17"/>
        <v>2.3213205625312732</v>
      </c>
      <c r="I268" s="4" t="str">
        <f t="shared" si="18"/>
        <v>BTC rich vs SOL</v>
      </c>
      <c r="N268" s="4">
        <v>2</v>
      </c>
      <c r="O268" s="4">
        <v>-2</v>
      </c>
    </row>
    <row r="269" spans="1:15" x14ac:dyDescent="0.25">
      <c r="A269" s="3">
        <v>46059</v>
      </c>
      <c r="B269" s="4">
        <v>70588.22</v>
      </c>
      <c r="C269" s="4">
        <v>87.51</v>
      </c>
      <c r="D269" s="5">
        <v>806.63032796251855</v>
      </c>
      <c r="E269" s="5">
        <f t="shared" si="15"/>
        <v>707.00745911710567</v>
      </c>
      <c r="F269" s="5">
        <f t="shared" si="16"/>
        <v>99.622868845412881</v>
      </c>
      <c r="G269" s="4">
        <f t="shared" si="19"/>
        <v>46.441219033155839</v>
      </c>
      <c r="H269" s="5">
        <f t="shared" si="17"/>
        <v>2.1451389717890263</v>
      </c>
      <c r="I269" s="4" t="str">
        <f t="shared" si="18"/>
        <v>BTC rich vs SOL</v>
      </c>
      <c r="N269" s="4">
        <v>2</v>
      </c>
      <c r="O269" s="4">
        <v>-2</v>
      </c>
    </row>
    <row r="270" spans="1:15" x14ac:dyDescent="0.25">
      <c r="A270" s="3">
        <v>46060</v>
      </c>
      <c r="B270" s="4">
        <v>69310.38</v>
      </c>
      <c r="C270" s="4">
        <v>87.79</v>
      </c>
      <c r="D270" s="5">
        <v>789.50199339332494</v>
      </c>
      <c r="E270" s="5">
        <f t="shared" si="15"/>
        <v>711.39472439860413</v>
      </c>
      <c r="F270" s="5">
        <f t="shared" si="16"/>
        <v>78.107268994720812</v>
      </c>
      <c r="G270" s="4">
        <f t="shared" si="19"/>
        <v>47.83650763444993</v>
      </c>
      <c r="H270" s="5">
        <f t="shared" si="17"/>
        <v>1.6327962231605531</v>
      </c>
      <c r="I270" s="4" t="str">
        <f t="shared" si="18"/>
        <v>Neutral</v>
      </c>
      <c r="N270" s="4">
        <v>2</v>
      </c>
      <c r="O270" s="4">
        <v>-2</v>
      </c>
    </row>
    <row r="271" spans="1:15" x14ac:dyDescent="0.25">
      <c r="A271" s="3">
        <v>46061</v>
      </c>
      <c r="B271" s="4">
        <v>70315.679999999993</v>
      </c>
      <c r="C271" s="4">
        <v>87</v>
      </c>
      <c r="D271" s="5">
        <v>808.22620689655162</v>
      </c>
      <c r="E271" s="5">
        <f t="shared" si="15"/>
        <v>716.16113211844311</v>
      </c>
      <c r="F271" s="5">
        <f t="shared" si="16"/>
        <v>92.06507477810851</v>
      </c>
      <c r="G271" s="4">
        <f t="shared" si="19"/>
        <v>50.146535063078474</v>
      </c>
      <c r="H271" s="5">
        <f t="shared" si="17"/>
        <v>1.8359209596894663</v>
      </c>
      <c r="I271" s="4" t="str">
        <f t="shared" si="18"/>
        <v>Neutral</v>
      </c>
      <c r="N271" s="4">
        <v>2</v>
      </c>
      <c r="O271" s="4">
        <v>-2</v>
      </c>
    </row>
    <row r="272" spans="1:15" x14ac:dyDescent="0.25">
      <c r="A272" s="3">
        <v>46062</v>
      </c>
      <c r="B272" s="4">
        <v>70120.2</v>
      </c>
      <c r="C272" s="4">
        <v>86.73</v>
      </c>
      <c r="D272" s="5">
        <v>808.48841231407812</v>
      </c>
      <c r="E272" s="5">
        <f t="shared" si="15"/>
        <v>720.96845606252964</v>
      </c>
      <c r="F272" s="5">
        <f t="shared" si="16"/>
        <v>87.519956251548479</v>
      </c>
      <c r="G272" s="4">
        <f t="shared" si="19"/>
        <v>51.883079766151745</v>
      </c>
      <c r="H272" s="5">
        <f t="shared" si="17"/>
        <v>1.6868689492994602</v>
      </c>
      <c r="I272" s="4" t="str">
        <f t="shared" si="18"/>
        <v>Neutral</v>
      </c>
      <c r="N272" s="4">
        <v>2</v>
      </c>
      <c r="O272" s="4">
        <v>-2</v>
      </c>
    </row>
    <row r="273" spans="1:15" x14ac:dyDescent="0.25">
      <c r="A273" s="3">
        <v>46063</v>
      </c>
      <c r="B273" s="4">
        <v>68837.86</v>
      </c>
      <c r="C273" s="4">
        <v>82.95</v>
      </c>
      <c r="D273" s="5">
        <v>829.87172995780588</v>
      </c>
      <c r="E273" s="5">
        <f t="shared" si="15"/>
        <v>726.90162874773205</v>
      </c>
      <c r="F273" s="5">
        <f t="shared" si="16"/>
        <v>102.97010121007384</v>
      </c>
      <c r="G273" s="4">
        <f t="shared" si="19"/>
        <v>53.84970155532114</v>
      </c>
      <c r="H273" s="5">
        <f t="shared" si="17"/>
        <v>1.9121758939423292</v>
      </c>
      <c r="I273" s="4" t="str">
        <f t="shared" si="18"/>
        <v>Neutral</v>
      </c>
      <c r="N273" s="4">
        <v>2</v>
      </c>
      <c r="O273" s="4">
        <v>-2</v>
      </c>
    </row>
    <row r="274" spans="1:15" x14ac:dyDescent="0.25">
      <c r="A274" s="3">
        <v>46064</v>
      </c>
      <c r="B274" s="4">
        <v>67087.89</v>
      </c>
      <c r="C274" s="4">
        <v>79.349999999999994</v>
      </c>
      <c r="D274" s="5">
        <v>845.46805293005673</v>
      </c>
      <c r="E274" s="5">
        <f t="shared" si="15"/>
        <v>733.25741132572875</v>
      </c>
      <c r="F274" s="5">
        <f t="shared" si="16"/>
        <v>112.21064160432798</v>
      </c>
      <c r="G274" s="4">
        <f t="shared" si="19"/>
        <v>56.24472727264979</v>
      </c>
      <c r="H274" s="5">
        <f t="shared" si="17"/>
        <v>1.9950428608246238</v>
      </c>
      <c r="I274" s="4" t="str">
        <f t="shared" si="18"/>
        <v>Neutral</v>
      </c>
      <c r="N274" s="4">
        <v>2</v>
      </c>
      <c r="O274" s="4">
        <v>-2</v>
      </c>
    </row>
    <row r="275" spans="1:15" x14ac:dyDescent="0.25">
      <c r="A275" s="3">
        <v>46065</v>
      </c>
      <c r="B275" s="4">
        <v>66252.28</v>
      </c>
      <c r="C275" s="4">
        <v>78.38</v>
      </c>
      <c r="D275" s="5">
        <v>845.27022199540704</v>
      </c>
      <c r="E275" s="5">
        <f t="shared" si="15"/>
        <v>739.56174591409319</v>
      </c>
      <c r="F275" s="5">
        <f t="shared" si="16"/>
        <v>105.70847608131385</v>
      </c>
      <c r="G275" s="4">
        <f t="shared" si="19"/>
        <v>57.878611096712319</v>
      </c>
      <c r="H275" s="5">
        <f t="shared" si="17"/>
        <v>1.8263823902871505</v>
      </c>
      <c r="I275" s="4" t="str">
        <f t="shared" si="18"/>
        <v>Neutral</v>
      </c>
      <c r="N275" s="4">
        <v>2</v>
      </c>
      <c r="O275" s="4">
        <v>-2</v>
      </c>
    </row>
    <row r="276" spans="1:15" x14ac:dyDescent="0.25">
      <c r="A276" s="3">
        <v>46066</v>
      </c>
      <c r="B276" s="4">
        <v>68866.62</v>
      </c>
      <c r="C276" s="4">
        <v>84.37</v>
      </c>
      <c r="D276" s="5">
        <v>816.24534787246637</v>
      </c>
      <c r="E276" s="5">
        <f t="shared" si="15"/>
        <v>744.75488798162371</v>
      </c>
      <c r="F276" s="5">
        <f t="shared" si="16"/>
        <v>71.490459890842658</v>
      </c>
      <c r="G276" s="4">
        <f t="shared" si="19"/>
        <v>57.523875579542882</v>
      </c>
      <c r="H276" s="5">
        <f t="shared" si="17"/>
        <v>1.2427963027627904</v>
      </c>
      <c r="I276" s="4" t="str">
        <f t="shared" si="18"/>
        <v>Neutral</v>
      </c>
      <c r="N276" s="4">
        <v>2</v>
      </c>
      <c r="O276" s="4">
        <v>-2</v>
      </c>
    </row>
    <row r="277" spans="1:15" x14ac:dyDescent="0.25">
      <c r="A277" s="3">
        <v>46067</v>
      </c>
      <c r="B277" s="4">
        <v>69840.399999999994</v>
      </c>
      <c r="C277" s="4">
        <v>88.09</v>
      </c>
      <c r="D277" s="5">
        <v>792.8300601657395</v>
      </c>
      <c r="E277" s="5">
        <f t="shared" si="15"/>
        <v>748.80038126451632</v>
      </c>
      <c r="F277" s="5">
        <f t="shared" si="16"/>
        <v>44.029678901223178</v>
      </c>
      <c r="G277" s="4">
        <f t="shared" si="19"/>
        <v>56.449478165304832</v>
      </c>
      <c r="H277" s="5">
        <f t="shared" si="17"/>
        <v>0.77998380733101003</v>
      </c>
      <c r="I277" s="4" t="str">
        <f t="shared" si="18"/>
        <v>Neutral</v>
      </c>
      <c r="N277" s="4">
        <v>2</v>
      </c>
      <c r="O277" s="4">
        <v>-2</v>
      </c>
    </row>
    <row r="278" spans="1:15" x14ac:dyDescent="0.25">
      <c r="A278" s="3">
        <v>46068</v>
      </c>
      <c r="B278" s="4">
        <v>68817.98</v>
      </c>
      <c r="C278" s="4">
        <v>86.17</v>
      </c>
      <c r="D278" s="5">
        <v>798.63038180341175</v>
      </c>
      <c r="E278" s="5">
        <f t="shared" si="15"/>
        <v>753.43573031519838</v>
      </c>
      <c r="F278" s="5">
        <f t="shared" si="16"/>
        <v>45.194651488213367</v>
      </c>
      <c r="G278" s="4">
        <f t="shared" si="19"/>
        <v>54.547076202938648</v>
      </c>
      <c r="H278" s="5">
        <f t="shared" si="17"/>
        <v>0.82854397768396926</v>
      </c>
      <c r="I278" s="4" t="str">
        <f t="shared" si="18"/>
        <v>Neutral</v>
      </c>
      <c r="N278" s="4">
        <v>2</v>
      </c>
      <c r="O278" s="4">
        <v>-2</v>
      </c>
    </row>
    <row r="279" spans="1:15" x14ac:dyDescent="0.25">
      <c r="A279" s="3">
        <v>46069</v>
      </c>
      <c r="B279" s="4">
        <v>68833.27</v>
      </c>
      <c r="C279" s="4">
        <v>86.59</v>
      </c>
      <c r="D279" s="5">
        <v>794.93324864303042</v>
      </c>
      <c r="E279" s="5">
        <f t="shared" si="15"/>
        <v>757.87225773373416</v>
      </c>
      <c r="F279" s="5">
        <f t="shared" si="16"/>
        <v>37.060990909296265</v>
      </c>
      <c r="G279" s="4">
        <f t="shared" si="19"/>
        <v>52.202336309919183</v>
      </c>
      <c r="H279" s="5">
        <f t="shared" si="17"/>
        <v>0.70994889365237379</v>
      </c>
      <c r="I279" s="4" t="str">
        <f t="shared" si="18"/>
        <v>Neutral</v>
      </c>
      <c r="N279" s="4">
        <v>2</v>
      </c>
      <c r="O279" s="4">
        <v>-2</v>
      </c>
    </row>
    <row r="280" spans="1:15" x14ac:dyDescent="0.25">
      <c r="A280" s="3">
        <v>46070</v>
      </c>
      <c r="B280" s="4">
        <v>67498.2</v>
      </c>
      <c r="C280" s="4">
        <v>85.21</v>
      </c>
      <c r="D280" s="5">
        <v>792.13942025583856</v>
      </c>
      <c r="E280" s="5">
        <f t="shared" si="15"/>
        <v>761.60013512663204</v>
      </c>
      <c r="F280" s="5">
        <f t="shared" si="16"/>
        <v>30.539285129206519</v>
      </c>
      <c r="G280" s="4">
        <f t="shared" si="19"/>
        <v>50.435272766796274</v>
      </c>
      <c r="H280" s="5">
        <f t="shared" si="17"/>
        <v>0.60551442381237308</v>
      </c>
      <c r="I280" s="4" t="str">
        <f t="shared" si="18"/>
        <v>Neutral</v>
      </c>
      <c r="N280" s="4">
        <v>2</v>
      </c>
      <c r="O280" s="4">
        <v>-2</v>
      </c>
    </row>
    <row r="281" spans="1:15" x14ac:dyDescent="0.25">
      <c r="A281" s="3">
        <v>46071</v>
      </c>
      <c r="B281" s="4">
        <v>66445.59</v>
      </c>
      <c r="C281" s="4">
        <v>81.61</v>
      </c>
      <c r="D281" s="5">
        <v>814.18441367479477</v>
      </c>
      <c r="E281" s="5">
        <f t="shared" si="15"/>
        <v>765.59573081619908</v>
      </c>
      <c r="F281" s="5">
        <f t="shared" si="16"/>
        <v>48.588682858595689</v>
      </c>
      <c r="G281" s="4">
        <f t="shared" si="19"/>
        <v>49.663303063683223</v>
      </c>
      <c r="H281" s="5">
        <f t="shared" si="17"/>
        <v>0.97836188616553454</v>
      </c>
      <c r="I281" s="4" t="str">
        <f t="shared" si="18"/>
        <v>Neutral</v>
      </c>
      <c r="N281" s="4">
        <v>2</v>
      </c>
      <c r="O281" s="4">
        <v>-2</v>
      </c>
    </row>
    <row r="282" spans="1:15" x14ac:dyDescent="0.25">
      <c r="A282" s="3">
        <v>46072</v>
      </c>
      <c r="B282" s="4">
        <v>66970.73</v>
      </c>
      <c r="C282" s="4">
        <v>82.5</v>
      </c>
      <c r="D282" s="5">
        <v>811.76642424242414</v>
      </c>
      <c r="E282" s="5">
        <f t="shared" si="15"/>
        <v>769.22857765771653</v>
      </c>
      <c r="F282" s="5">
        <f t="shared" si="16"/>
        <v>42.537846584707609</v>
      </c>
      <c r="G282" s="4">
        <f t="shared" si="19"/>
        <v>48.890089289019762</v>
      </c>
      <c r="H282" s="5">
        <f t="shared" si="17"/>
        <v>0.87007095309726079</v>
      </c>
      <c r="I282" s="4" t="str">
        <f t="shared" si="18"/>
        <v>Neutral</v>
      </c>
      <c r="N282" s="4">
        <v>2</v>
      </c>
      <c r="O282" s="4">
        <v>-2</v>
      </c>
    </row>
    <row r="283" spans="1:15" x14ac:dyDescent="0.25">
      <c r="A283" s="3">
        <v>46073</v>
      </c>
      <c r="B283" s="4">
        <v>68022.850000000006</v>
      </c>
      <c r="C283" s="4">
        <v>84.45</v>
      </c>
      <c r="D283" s="5">
        <v>805.48075784487867</v>
      </c>
      <c r="E283" s="5">
        <f t="shared" si="15"/>
        <v>772.99115211157664</v>
      </c>
      <c r="F283" s="5">
        <f t="shared" si="16"/>
        <v>32.489605733302028</v>
      </c>
      <c r="G283" s="4">
        <f t="shared" si="19"/>
        <v>47.100441776139071</v>
      </c>
      <c r="H283" s="5">
        <f t="shared" si="17"/>
        <v>0.68979407640633117</v>
      </c>
      <c r="I283" s="4" t="str">
        <f t="shared" si="18"/>
        <v>Neutral</v>
      </c>
      <c r="N283" s="4">
        <v>2</v>
      </c>
      <c r="O283" s="4">
        <v>-2</v>
      </c>
    </row>
    <row r="284" spans="1:15" x14ac:dyDescent="0.25">
      <c r="A284" s="3">
        <v>46074</v>
      </c>
      <c r="B284" s="4">
        <v>68023.17</v>
      </c>
      <c r="C284" s="4">
        <v>85.23</v>
      </c>
      <c r="D284" s="5">
        <v>798.11298838437165</v>
      </c>
      <c r="E284" s="5">
        <f t="shared" si="15"/>
        <v>776.33784489104266</v>
      </c>
      <c r="F284" s="5">
        <f t="shared" si="16"/>
        <v>21.775143493328983</v>
      </c>
      <c r="G284" s="4">
        <f t="shared" si="19"/>
        <v>45.091199941383493</v>
      </c>
      <c r="H284" s="5">
        <f t="shared" si="17"/>
        <v>0.48291337382096017</v>
      </c>
      <c r="I284" s="4" t="str">
        <f t="shared" si="18"/>
        <v>Neutral</v>
      </c>
      <c r="N284" s="4">
        <v>2</v>
      </c>
      <c r="O284" s="4">
        <v>-2</v>
      </c>
    </row>
    <row r="285" spans="1:15" x14ac:dyDescent="0.25">
      <c r="A285" s="3">
        <v>46075</v>
      </c>
      <c r="B285" s="4">
        <v>67637.42</v>
      </c>
      <c r="C285" s="4">
        <v>82.9</v>
      </c>
      <c r="D285" s="5">
        <v>815.89167671893836</v>
      </c>
      <c r="E285" s="5">
        <f t="shared" si="15"/>
        <v>780.08583132087779</v>
      </c>
      <c r="F285" s="5">
        <f t="shared" si="16"/>
        <v>35.805845398060569</v>
      </c>
      <c r="G285" s="4">
        <f t="shared" si="19"/>
        <v>43.467793241799576</v>
      </c>
      <c r="H285" s="5">
        <f t="shared" si="17"/>
        <v>0.82373276229787729</v>
      </c>
      <c r="I285" s="4" t="str">
        <f t="shared" si="18"/>
        <v>Neutral</v>
      </c>
      <c r="N285" s="4">
        <v>2</v>
      </c>
      <c r="O285" s="4">
        <v>-2</v>
      </c>
    </row>
    <row r="286" spans="1:15" x14ac:dyDescent="0.25">
      <c r="A286" s="3">
        <v>46076</v>
      </c>
      <c r="B286" s="4">
        <v>64665.99</v>
      </c>
      <c r="C286" s="4">
        <v>77.7</v>
      </c>
      <c r="D286" s="5">
        <v>832.25212355212352</v>
      </c>
      <c r="E286" s="5">
        <f t="shared" si="15"/>
        <v>784.43526732880844</v>
      </c>
      <c r="F286" s="5">
        <f t="shared" si="16"/>
        <v>47.816856223315085</v>
      </c>
      <c r="G286" s="4">
        <f t="shared" si="19"/>
        <v>41.859492963593262</v>
      </c>
      <c r="H286" s="5">
        <f t="shared" si="17"/>
        <v>1.1423180941274937</v>
      </c>
      <c r="I286" s="4" t="str">
        <f t="shared" si="18"/>
        <v>Neutral</v>
      </c>
      <c r="N286" s="4">
        <v>2</v>
      </c>
      <c r="O286" s="4">
        <v>-2</v>
      </c>
    </row>
    <row r="287" spans="1:15" x14ac:dyDescent="0.25">
      <c r="A287" s="3">
        <v>46077</v>
      </c>
      <c r="B287" s="4">
        <v>64024.6</v>
      </c>
      <c r="C287" s="4">
        <v>79.22</v>
      </c>
      <c r="D287" s="5">
        <v>808.18732643271903</v>
      </c>
      <c r="E287" s="5">
        <f t="shared" si="15"/>
        <v>787.08701272049439</v>
      </c>
      <c r="F287" s="5">
        <f t="shared" si="16"/>
        <v>21.100313712224647</v>
      </c>
      <c r="G287" s="4">
        <f t="shared" si="19"/>
        <v>40.706616979455283</v>
      </c>
      <c r="H287" s="5">
        <f t="shared" si="17"/>
        <v>0.51835095318468793</v>
      </c>
      <c r="I287" s="4" t="str">
        <f t="shared" si="18"/>
        <v>Neutral</v>
      </c>
      <c r="N287" s="4">
        <v>2</v>
      </c>
      <c r="O287" s="4">
        <v>-2</v>
      </c>
    </row>
    <row r="288" spans="1:15" x14ac:dyDescent="0.25">
      <c r="A288" s="3">
        <v>46078</v>
      </c>
      <c r="B288" s="4">
        <v>67957.929999999993</v>
      </c>
      <c r="C288" s="4">
        <v>88.03</v>
      </c>
      <c r="D288" s="5">
        <v>771.98602749062809</v>
      </c>
      <c r="E288" s="5">
        <f t="shared" ref="E288:E351" si="20">AVERAGE(D259:D288)</f>
        <v>789.10603972380522</v>
      </c>
      <c r="F288" s="5">
        <f t="shared" ref="F288:F351" si="21">(D288-E288)</f>
        <v>-17.120012233177135</v>
      </c>
      <c r="G288" s="4">
        <f t="shared" si="19"/>
        <v>38.252048111412677</v>
      </c>
      <c r="H288" s="5">
        <f t="shared" ref="H288:H351" si="22">(F288/G288)</f>
        <v>-0.44755805449458536</v>
      </c>
      <c r="I288" s="4" t="str">
        <f t="shared" ref="I288:I351" si="23">IF(H288&gt;2, "BTC rich vs SOL", IF(H288&lt;-2,"BTC cheap vs SOL","Neutral"))</f>
        <v>Neutral</v>
      </c>
      <c r="N288" s="4">
        <v>2</v>
      </c>
      <c r="O288" s="4">
        <v>-2</v>
      </c>
    </row>
    <row r="289" spans="1:15" x14ac:dyDescent="0.25">
      <c r="A289" s="3">
        <v>46079</v>
      </c>
      <c r="B289" s="4">
        <v>67481.399999999994</v>
      </c>
      <c r="C289" s="4">
        <v>85.93</v>
      </c>
      <c r="D289" s="5">
        <v>785.30664494355858</v>
      </c>
      <c r="E289" s="5">
        <f t="shared" si="20"/>
        <v>791.93586260296593</v>
      </c>
      <c r="F289" s="5">
        <f t="shared" si="21"/>
        <v>-6.6292176594073453</v>
      </c>
      <c r="G289" s="4">
        <f t="shared" ref="G289:G352" si="24">STDEV(D260:D289)</f>
        <v>34.411763626024928</v>
      </c>
      <c r="H289" s="5">
        <f t="shared" si="22"/>
        <v>-0.19264393802803528</v>
      </c>
      <c r="I289" s="4" t="str">
        <f t="shared" si="23"/>
        <v>Neutral</v>
      </c>
      <c r="N289" s="4">
        <v>2</v>
      </c>
      <c r="O289" s="4">
        <v>-2</v>
      </c>
    </row>
    <row r="290" spans="1:15" x14ac:dyDescent="0.25">
      <c r="A290" s="3">
        <v>46080</v>
      </c>
      <c r="B290" s="4">
        <v>65882.98</v>
      </c>
      <c r="C290" s="4">
        <v>81.98</v>
      </c>
      <c r="D290" s="5">
        <v>803.64698707001696</v>
      </c>
      <c r="E290" s="5">
        <f t="shared" si="20"/>
        <v>794.96415620332709</v>
      </c>
      <c r="F290" s="5">
        <f t="shared" si="21"/>
        <v>8.6828308666898693</v>
      </c>
      <c r="G290" s="4">
        <f t="shared" si="24"/>
        <v>31.039560639140621</v>
      </c>
      <c r="H290" s="5">
        <f t="shared" si="22"/>
        <v>0.27973433540618142</v>
      </c>
      <c r="I290" s="4" t="str">
        <f t="shared" si="23"/>
        <v>Neutral</v>
      </c>
      <c r="N290" s="4">
        <v>2</v>
      </c>
      <c r="O290" s="4">
        <v>-2</v>
      </c>
    </row>
    <row r="291" spans="1:15" x14ac:dyDescent="0.25">
      <c r="A291" s="3">
        <v>46081</v>
      </c>
      <c r="B291" s="4">
        <v>66954.13</v>
      </c>
      <c r="C291" s="4">
        <v>84.3</v>
      </c>
      <c r="D291" s="5">
        <v>794.23641755634651</v>
      </c>
      <c r="E291" s="5">
        <f t="shared" si="20"/>
        <v>797.47187547082763</v>
      </c>
      <c r="F291" s="5">
        <f t="shared" si="21"/>
        <v>-3.2354579144811169</v>
      </c>
      <c r="G291" s="4">
        <f t="shared" si="24"/>
        <v>27.531942296539491</v>
      </c>
      <c r="H291" s="5">
        <f t="shared" si="22"/>
        <v>-0.11751651516746728</v>
      </c>
      <c r="I291" s="4" t="str">
        <f t="shared" si="23"/>
        <v>Neutral</v>
      </c>
      <c r="N291" s="4">
        <v>2</v>
      </c>
      <c r="O291" s="4">
        <v>-2</v>
      </c>
    </row>
    <row r="292" spans="1:15" x14ac:dyDescent="0.25">
      <c r="A292" s="3">
        <v>46082</v>
      </c>
      <c r="B292" s="4">
        <v>65721.17</v>
      </c>
      <c r="C292" s="4">
        <v>83.57</v>
      </c>
      <c r="D292" s="5">
        <v>786.4206054804356</v>
      </c>
      <c r="E292" s="5">
        <f t="shared" si="20"/>
        <v>799.79810038908226</v>
      </c>
      <c r="F292" s="5">
        <f t="shared" si="21"/>
        <v>-13.377494908646668</v>
      </c>
      <c r="G292" s="4">
        <f t="shared" si="24"/>
        <v>23.049596727560086</v>
      </c>
      <c r="H292" s="5">
        <f t="shared" si="22"/>
        <v>-0.58037869671929576</v>
      </c>
      <c r="I292" s="4" t="str">
        <f t="shared" si="23"/>
        <v>Neutral</v>
      </c>
      <c r="N292" s="4">
        <v>2</v>
      </c>
      <c r="O292" s="4">
        <v>-2</v>
      </c>
    </row>
    <row r="293" spans="1:15" x14ac:dyDescent="0.25">
      <c r="A293" s="3">
        <v>46083</v>
      </c>
      <c r="B293" s="4">
        <v>68811.429999999993</v>
      </c>
      <c r="C293" s="4">
        <v>86.71</v>
      </c>
      <c r="D293" s="5">
        <v>793.58124783761969</v>
      </c>
      <c r="E293" s="5">
        <f t="shared" si="20"/>
        <v>801.29726063095757</v>
      </c>
      <c r="F293" s="5">
        <f t="shared" si="21"/>
        <v>-7.7160127933378817</v>
      </c>
      <c r="G293" s="4">
        <f t="shared" si="24"/>
        <v>20.974427901978874</v>
      </c>
      <c r="H293" s="5">
        <f t="shared" si="22"/>
        <v>-0.36787715161517703</v>
      </c>
      <c r="I293" s="4" t="str">
        <f t="shared" si="23"/>
        <v>Neutral</v>
      </c>
      <c r="N293" s="4">
        <v>2</v>
      </c>
      <c r="O293" s="4">
        <v>-2</v>
      </c>
    </row>
    <row r="294" spans="1:15" x14ac:dyDescent="0.25">
      <c r="A294" s="3">
        <v>46084</v>
      </c>
      <c r="B294" s="4">
        <v>68263.23</v>
      </c>
      <c r="C294" s="4">
        <v>86.96</v>
      </c>
      <c r="D294" s="5">
        <v>784.99574517019323</v>
      </c>
      <c r="E294" s="5">
        <f t="shared" si="20"/>
        <v>801.99725120978519</v>
      </c>
      <c r="F294" s="5">
        <f t="shared" si="21"/>
        <v>-17.001506039591959</v>
      </c>
      <c r="G294" s="4">
        <f t="shared" si="24"/>
        <v>20.015106346973262</v>
      </c>
      <c r="H294" s="5">
        <f t="shared" si="22"/>
        <v>-0.84943370996192447</v>
      </c>
      <c r="I294" s="4" t="str">
        <f t="shared" si="23"/>
        <v>Neutral</v>
      </c>
      <c r="N294" s="4">
        <v>2</v>
      </c>
      <c r="O294" s="4">
        <v>-2</v>
      </c>
    </row>
    <row r="295" spans="1:15" x14ac:dyDescent="0.25">
      <c r="A295" s="3">
        <v>46085</v>
      </c>
      <c r="B295" s="4">
        <v>72747.38</v>
      </c>
      <c r="C295" s="4">
        <v>90.74</v>
      </c>
      <c r="D295" s="5">
        <v>801.71236499889801</v>
      </c>
      <c r="E295" s="5">
        <f t="shared" si="20"/>
        <v>803.59918577399208</v>
      </c>
      <c r="F295" s="5">
        <f t="shared" si="21"/>
        <v>-1.8868207750940655</v>
      </c>
      <c r="G295" s="4">
        <f t="shared" si="24"/>
        <v>17.814743112351408</v>
      </c>
      <c r="H295" s="5">
        <f t="shared" si="22"/>
        <v>-0.10591344277010009</v>
      </c>
      <c r="I295" s="4" t="str">
        <f t="shared" si="23"/>
        <v>Neutral</v>
      </c>
      <c r="N295" s="4">
        <v>2</v>
      </c>
      <c r="O295" s="4">
        <v>-2</v>
      </c>
    </row>
    <row r="296" spans="1:15" x14ac:dyDescent="0.25">
      <c r="A296" s="3">
        <v>46086</v>
      </c>
      <c r="B296" s="4">
        <v>70858.600000000006</v>
      </c>
      <c r="C296" s="4">
        <v>88.74</v>
      </c>
      <c r="D296" s="5">
        <v>798.49673202614395</v>
      </c>
      <c r="E296" s="5">
        <f t="shared" si="20"/>
        <v>804.37861400173347</v>
      </c>
      <c r="F296" s="5">
        <f t="shared" si="21"/>
        <v>-5.881881975589522</v>
      </c>
      <c r="G296" s="4">
        <f t="shared" si="24"/>
        <v>17.019243192844062</v>
      </c>
      <c r="H296" s="5">
        <f t="shared" si="22"/>
        <v>-0.34560185249968267</v>
      </c>
      <c r="I296" s="4" t="str">
        <f t="shared" si="23"/>
        <v>Neutral</v>
      </c>
      <c r="N296" s="4">
        <v>2</v>
      </c>
      <c r="O296" s="4">
        <v>-2</v>
      </c>
    </row>
    <row r="297" spans="1:15" x14ac:dyDescent="0.25">
      <c r="A297" s="3">
        <v>46087</v>
      </c>
      <c r="B297" s="4">
        <v>68118.25</v>
      </c>
      <c r="C297" s="4">
        <v>84.68</v>
      </c>
      <c r="D297" s="5">
        <v>804.41957959376475</v>
      </c>
      <c r="E297" s="5">
        <f t="shared" si="20"/>
        <v>804.69950565540228</v>
      </c>
      <c r="F297" s="5">
        <f t="shared" si="21"/>
        <v>-0.27992606163752498</v>
      </c>
      <c r="G297" s="4">
        <f t="shared" si="24"/>
        <v>16.922755345672872</v>
      </c>
      <c r="H297" s="5">
        <f t="shared" si="22"/>
        <v>-1.6541399785059335E-2</v>
      </c>
      <c r="I297" s="4" t="str">
        <f t="shared" si="23"/>
        <v>Neutral</v>
      </c>
      <c r="N297" s="4">
        <v>2</v>
      </c>
      <c r="O297" s="4">
        <v>-2</v>
      </c>
    </row>
    <row r="298" spans="1:15" x14ac:dyDescent="0.25">
      <c r="A298" s="3">
        <v>46088</v>
      </c>
      <c r="B298" s="4">
        <v>67264.19</v>
      </c>
      <c r="C298" s="4">
        <v>83.19</v>
      </c>
      <c r="D298" s="5">
        <v>808.56100492847702</v>
      </c>
      <c r="E298" s="5">
        <f t="shared" si="20"/>
        <v>804.91581573788505</v>
      </c>
      <c r="F298" s="5">
        <f t="shared" si="21"/>
        <v>3.6451891905919638</v>
      </c>
      <c r="G298" s="4">
        <f t="shared" si="24"/>
        <v>16.929480440540409</v>
      </c>
      <c r="H298" s="5">
        <f t="shared" si="22"/>
        <v>0.21531606970423983</v>
      </c>
      <c r="I298" s="4" t="str">
        <f t="shared" si="23"/>
        <v>Neutral</v>
      </c>
      <c r="N298" s="4">
        <v>2</v>
      </c>
      <c r="O298" s="4">
        <v>-2</v>
      </c>
    </row>
    <row r="299" spans="1:15" x14ac:dyDescent="0.25">
      <c r="A299" s="3">
        <v>46089</v>
      </c>
      <c r="B299" s="4">
        <v>66007.38</v>
      </c>
      <c r="C299" s="4">
        <v>81.67</v>
      </c>
      <c r="D299" s="5">
        <v>808.22064405534468</v>
      </c>
      <c r="E299" s="5">
        <f t="shared" si="20"/>
        <v>804.96882627431285</v>
      </c>
      <c r="F299" s="5">
        <f t="shared" si="21"/>
        <v>3.2518177810318321</v>
      </c>
      <c r="G299" s="4">
        <f t="shared" si="24"/>
        <v>16.937522073931785</v>
      </c>
      <c r="H299" s="5">
        <f t="shared" si="22"/>
        <v>0.19198899147335385</v>
      </c>
      <c r="I299" s="4" t="str">
        <f t="shared" si="23"/>
        <v>Neutral</v>
      </c>
      <c r="N299" s="4">
        <v>2</v>
      </c>
      <c r="O299" s="4">
        <v>-2</v>
      </c>
    </row>
    <row r="300" spans="1:15" x14ac:dyDescent="0.25">
      <c r="A300" s="3">
        <v>46090</v>
      </c>
      <c r="B300" s="4">
        <v>68374.92</v>
      </c>
      <c r="C300" s="4">
        <v>85</v>
      </c>
      <c r="D300" s="5">
        <v>804.4108235294118</v>
      </c>
      <c r="E300" s="5">
        <f t="shared" si="20"/>
        <v>805.46578727884889</v>
      </c>
      <c r="F300" s="5">
        <f t="shared" si="21"/>
        <v>-1.0549637494370927</v>
      </c>
      <c r="G300" s="4">
        <f t="shared" si="24"/>
        <v>16.684898506130999</v>
      </c>
      <c r="H300" s="5">
        <f t="shared" si="22"/>
        <v>-6.3228658481167141E-2</v>
      </c>
      <c r="I300" s="4" t="str">
        <f t="shared" si="23"/>
        <v>Neutral</v>
      </c>
      <c r="N300" s="4">
        <v>2</v>
      </c>
      <c r="O300" s="4">
        <v>-2</v>
      </c>
    </row>
    <row r="301" spans="1:15" x14ac:dyDescent="0.25">
      <c r="A301" s="3">
        <v>46091</v>
      </c>
      <c r="B301" s="4">
        <v>69937.149999999994</v>
      </c>
      <c r="C301" s="4">
        <v>85.89</v>
      </c>
      <c r="D301" s="5">
        <v>814.26417510769579</v>
      </c>
      <c r="E301" s="5">
        <f t="shared" si="20"/>
        <v>805.66705288588707</v>
      </c>
      <c r="F301" s="5">
        <f t="shared" si="21"/>
        <v>8.5971222218087178</v>
      </c>
      <c r="G301" s="4">
        <f t="shared" si="24"/>
        <v>16.755612320920584</v>
      </c>
      <c r="H301" s="5">
        <f t="shared" si="22"/>
        <v>0.51308911051102524</v>
      </c>
      <c r="I301" s="4" t="str">
        <f t="shared" si="23"/>
        <v>Neutral</v>
      </c>
      <c r="N301" s="4">
        <v>2</v>
      </c>
      <c r="O301" s="4">
        <v>-2</v>
      </c>
    </row>
    <row r="302" spans="1:15" x14ac:dyDescent="0.25">
      <c r="A302" s="3">
        <v>46092</v>
      </c>
      <c r="B302" s="4">
        <v>70192.649999999994</v>
      </c>
      <c r="C302" s="4">
        <v>86.6</v>
      </c>
      <c r="D302" s="5">
        <v>810.53868360277136</v>
      </c>
      <c r="E302" s="5">
        <f t="shared" si="20"/>
        <v>805.73539526217712</v>
      </c>
      <c r="F302" s="5">
        <f t="shared" si="21"/>
        <v>4.8032883405942357</v>
      </c>
      <c r="G302" s="4">
        <f t="shared" si="24"/>
        <v>16.771690412641597</v>
      </c>
      <c r="H302" s="5">
        <f t="shared" si="22"/>
        <v>0.28639261889629058</v>
      </c>
      <c r="I302" s="4" t="str">
        <f t="shared" si="23"/>
        <v>Neutral</v>
      </c>
      <c r="N302" s="4">
        <v>2</v>
      </c>
      <c r="O302" s="4">
        <v>-2</v>
      </c>
    </row>
    <row r="303" spans="1:15" x14ac:dyDescent="0.25">
      <c r="A303" s="3">
        <v>46093</v>
      </c>
      <c r="B303" s="4">
        <v>70489.42</v>
      </c>
      <c r="C303" s="4">
        <v>86.81</v>
      </c>
      <c r="D303" s="5">
        <v>811.99654417693807</v>
      </c>
      <c r="E303" s="5">
        <f t="shared" si="20"/>
        <v>805.13955573614817</v>
      </c>
      <c r="F303" s="5">
        <f t="shared" si="21"/>
        <v>6.8569884407899053</v>
      </c>
      <c r="G303" s="4">
        <f t="shared" si="24"/>
        <v>16.192151111165121</v>
      </c>
      <c r="H303" s="5">
        <f t="shared" si="22"/>
        <v>0.42347606526854509</v>
      </c>
      <c r="I303" s="4" t="str">
        <f t="shared" si="23"/>
        <v>Neutral</v>
      </c>
      <c r="N303" s="4">
        <v>2</v>
      </c>
      <c r="O303" s="4">
        <v>-2</v>
      </c>
    </row>
    <row r="304" spans="1:15" x14ac:dyDescent="0.25">
      <c r="A304" s="3">
        <v>46094</v>
      </c>
      <c r="B304" s="4">
        <v>70968.63</v>
      </c>
      <c r="C304" s="4">
        <v>88.08</v>
      </c>
      <c r="D304" s="5">
        <v>805.72922343324262</v>
      </c>
      <c r="E304" s="5">
        <f t="shared" si="20"/>
        <v>803.81492808625444</v>
      </c>
      <c r="F304" s="5">
        <f t="shared" si="21"/>
        <v>1.9142953469881832</v>
      </c>
      <c r="G304" s="4">
        <f t="shared" si="24"/>
        <v>14.293364556910223</v>
      </c>
      <c r="H304" s="5">
        <f t="shared" si="22"/>
        <v>0.13392895279248329</v>
      </c>
      <c r="I304" s="4" t="str">
        <f t="shared" si="23"/>
        <v>Neutral</v>
      </c>
      <c r="N304" s="4">
        <v>2</v>
      </c>
      <c r="O304" s="4">
        <v>-2</v>
      </c>
    </row>
    <row r="305" spans="1:15" x14ac:dyDescent="0.25">
      <c r="A305" s="3">
        <v>46095</v>
      </c>
      <c r="B305" s="4">
        <v>71211.28</v>
      </c>
      <c r="C305" s="4">
        <v>87.93</v>
      </c>
      <c r="D305" s="5">
        <v>809.8633003525531</v>
      </c>
      <c r="E305" s="5">
        <f t="shared" si="20"/>
        <v>802.63469736482591</v>
      </c>
      <c r="F305" s="5">
        <f t="shared" si="21"/>
        <v>7.2286029877271858</v>
      </c>
      <c r="G305" s="4">
        <f t="shared" si="24"/>
        <v>12.035809956053381</v>
      </c>
      <c r="H305" s="5">
        <f t="shared" si="22"/>
        <v>0.60059131991292181</v>
      </c>
      <c r="I305" s="4" t="str">
        <f t="shared" si="23"/>
        <v>Neutral</v>
      </c>
      <c r="N305" s="4">
        <v>2</v>
      </c>
      <c r="O305" s="4">
        <v>-2</v>
      </c>
    </row>
    <row r="306" spans="1:15" x14ac:dyDescent="0.25">
      <c r="A306" s="3">
        <v>46096</v>
      </c>
      <c r="B306" s="4">
        <v>72741.88</v>
      </c>
      <c r="C306" s="4">
        <v>92.29</v>
      </c>
      <c r="D306" s="5">
        <v>788.18810271968789</v>
      </c>
      <c r="E306" s="5">
        <f t="shared" si="20"/>
        <v>801.69945585973323</v>
      </c>
      <c r="F306" s="5">
        <f t="shared" si="21"/>
        <v>-13.511353140045344</v>
      </c>
      <c r="G306" s="4">
        <f t="shared" si="24"/>
        <v>12.031818315104923</v>
      </c>
      <c r="H306" s="5">
        <f t="shared" si="22"/>
        <v>-1.12296851449984</v>
      </c>
      <c r="I306" s="4" t="str">
        <f t="shared" si="23"/>
        <v>Neutral</v>
      </c>
      <c r="N306" s="4">
        <v>2</v>
      </c>
      <c r="O306" s="4">
        <v>-2</v>
      </c>
    </row>
    <row r="307" spans="1:15" x14ac:dyDescent="0.25">
      <c r="A307" s="3">
        <v>46097</v>
      </c>
      <c r="B307" s="4">
        <v>74879.98</v>
      </c>
      <c r="C307" s="4">
        <v>96.36</v>
      </c>
      <c r="D307" s="5">
        <v>777.08572021585712</v>
      </c>
      <c r="E307" s="5">
        <f t="shared" si="20"/>
        <v>801.17464452807064</v>
      </c>
      <c r="F307" s="5">
        <f t="shared" si="21"/>
        <v>-24.088924312213521</v>
      </c>
      <c r="G307" s="4">
        <f t="shared" si="24"/>
        <v>12.753744414900911</v>
      </c>
      <c r="H307" s="5">
        <f t="shared" si="22"/>
        <v>-1.8887727030243044</v>
      </c>
      <c r="I307" s="4" t="str">
        <f t="shared" si="23"/>
        <v>Neutral</v>
      </c>
      <c r="N307" s="4">
        <v>2</v>
      </c>
      <c r="O307" s="4">
        <v>-2</v>
      </c>
    </row>
    <row r="308" spans="1:15" x14ac:dyDescent="0.25">
      <c r="A308" s="3">
        <v>46098</v>
      </c>
      <c r="B308" s="4">
        <v>73908.83</v>
      </c>
      <c r="C308" s="4">
        <v>94.75</v>
      </c>
      <c r="D308" s="5">
        <v>780.04042216358846</v>
      </c>
      <c r="E308" s="5">
        <f t="shared" si="20"/>
        <v>800.55497920674316</v>
      </c>
      <c r="F308" s="5">
        <f t="shared" si="21"/>
        <v>-20.514557043154696</v>
      </c>
      <c r="G308" s="4">
        <f t="shared" si="24"/>
        <v>13.320640491802342</v>
      </c>
      <c r="H308" s="5">
        <f t="shared" si="22"/>
        <v>-1.5400578565106957</v>
      </c>
      <c r="I308" s="4" t="str">
        <f t="shared" si="23"/>
        <v>Neutral</v>
      </c>
      <c r="N308" s="4">
        <v>2</v>
      </c>
      <c r="O308" s="4">
        <v>-2</v>
      </c>
    </row>
    <row r="309" spans="1:15" x14ac:dyDescent="0.25">
      <c r="A309" s="3">
        <v>46099</v>
      </c>
      <c r="B309" s="4">
        <v>71256.100000000006</v>
      </c>
      <c r="C309" s="4">
        <v>89.98</v>
      </c>
      <c r="D309" s="5">
        <v>791.9104245387864</v>
      </c>
      <c r="E309" s="5">
        <f t="shared" si="20"/>
        <v>800.45421840326833</v>
      </c>
      <c r="F309" s="5">
        <f t="shared" si="21"/>
        <v>-8.5437938644819269</v>
      </c>
      <c r="G309" s="4">
        <f t="shared" si="24"/>
        <v>13.375948975595486</v>
      </c>
      <c r="H309" s="5">
        <f t="shared" si="22"/>
        <v>-0.63874300657621674</v>
      </c>
      <c r="I309" s="4" t="str">
        <f t="shared" si="23"/>
        <v>Neutral</v>
      </c>
      <c r="N309" s="4">
        <v>2</v>
      </c>
      <c r="O309" s="4">
        <v>-2</v>
      </c>
    </row>
    <row r="310" spans="1:15" x14ac:dyDescent="0.25">
      <c r="A310" s="3">
        <v>46100</v>
      </c>
      <c r="B310" s="4">
        <v>69977.88</v>
      </c>
      <c r="C310" s="4">
        <v>88.93</v>
      </c>
      <c r="D310" s="5">
        <v>786.88721466321829</v>
      </c>
      <c r="E310" s="5">
        <f t="shared" si="20"/>
        <v>800.27914488351416</v>
      </c>
      <c r="F310" s="5">
        <f t="shared" si="21"/>
        <v>-13.391930220295876</v>
      </c>
      <c r="G310" s="4">
        <f t="shared" si="24"/>
        <v>13.522105170557277</v>
      </c>
      <c r="H310" s="5">
        <f t="shared" si="22"/>
        <v>-0.99037317424916649</v>
      </c>
      <c r="I310" s="4" t="str">
        <f t="shared" si="23"/>
        <v>Neutral</v>
      </c>
      <c r="N310" s="4">
        <v>2</v>
      </c>
      <c r="O310" s="4">
        <v>-2</v>
      </c>
    </row>
    <row r="311" spans="1:15" x14ac:dyDescent="0.25">
      <c r="A311" s="3">
        <v>46101</v>
      </c>
      <c r="B311" s="4">
        <v>70494.62</v>
      </c>
      <c r="C311" s="4">
        <v>89.9</v>
      </c>
      <c r="D311" s="5">
        <v>784.14482758620682</v>
      </c>
      <c r="E311" s="5">
        <f t="shared" si="20"/>
        <v>799.27782534722792</v>
      </c>
      <c r="F311" s="5">
        <f t="shared" si="21"/>
        <v>-15.132997761021102</v>
      </c>
      <c r="G311" s="4">
        <f t="shared" si="24"/>
        <v>13.569048182949212</v>
      </c>
      <c r="H311" s="5">
        <f t="shared" si="22"/>
        <v>-1.1152586059821896</v>
      </c>
      <c r="I311" s="4" t="str">
        <f t="shared" si="23"/>
        <v>Neutral</v>
      </c>
      <c r="N311" s="4">
        <v>2</v>
      </c>
      <c r="O311" s="4">
        <v>-2</v>
      </c>
    </row>
    <row r="312" spans="1:15" x14ac:dyDescent="0.25">
      <c r="A312" s="3">
        <v>46102</v>
      </c>
      <c r="B312" s="4">
        <v>68747.47</v>
      </c>
      <c r="C312" s="4">
        <v>87.27</v>
      </c>
      <c r="D312" s="5">
        <v>787.75604445972272</v>
      </c>
      <c r="E312" s="5">
        <f t="shared" si="20"/>
        <v>798.47747935447114</v>
      </c>
      <c r="F312" s="5">
        <f t="shared" si="21"/>
        <v>-10.721434894748427</v>
      </c>
      <c r="G312" s="4">
        <f t="shared" si="24"/>
        <v>13.515027026591749</v>
      </c>
      <c r="H312" s="5">
        <f t="shared" si="22"/>
        <v>-0.7932973329356473</v>
      </c>
      <c r="I312" s="4" t="str">
        <f t="shared" si="23"/>
        <v>Neutral</v>
      </c>
      <c r="N312" s="4">
        <v>2</v>
      </c>
      <c r="O312" s="4">
        <v>-2</v>
      </c>
    </row>
    <row r="313" spans="1:15" x14ac:dyDescent="0.25">
      <c r="A313" s="3">
        <v>46103</v>
      </c>
      <c r="B313" s="4">
        <v>67865.47</v>
      </c>
      <c r="C313" s="4">
        <v>86.22</v>
      </c>
      <c r="D313" s="5">
        <v>787.11980978891211</v>
      </c>
      <c r="E313" s="5">
        <f t="shared" si="20"/>
        <v>797.86544775260563</v>
      </c>
      <c r="F313" s="5">
        <f t="shared" si="21"/>
        <v>-10.745637963693525</v>
      </c>
      <c r="G313" s="4">
        <f t="shared" si="24"/>
        <v>13.602403411176784</v>
      </c>
      <c r="H313" s="5">
        <f t="shared" si="22"/>
        <v>-0.78998083198033076</v>
      </c>
      <c r="I313" s="4" t="str">
        <f t="shared" si="23"/>
        <v>Neutral</v>
      </c>
      <c r="N313" s="4">
        <v>2</v>
      </c>
      <c r="O313" s="4">
        <v>-2</v>
      </c>
    </row>
    <row r="314" spans="1:15" x14ac:dyDescent="0.25">
      <c r="A314" s="3">
        <v>46104</v>
      </c>
      <c r="B314" s="4">
        <v>70910.84</v>
      </c>
      <c r="C314" s="4">
        <v>91.5</v>
      </c>
      <c r="D314" s="5">
        <v>774.98185792349727</v>
      </c>
      <c r="E314" s="5">
        <f t="shared" si="20"/>
        <v>797.09441007057649</v>
      </c>
      <c r="F314" s="5">
        <f t="shared" si="21"/>
        <v>-22.112552147079214</v>
      </c>
      <c r="G314" s="4">
        <f t="shared" si="24"/>
        <v>14.22903589452247</v>
      </c>
      <c r="H314" s="5">
        <f t="shared" si="22"/>
        <v>-1.5540443014548539</v>
      </c>
      <c r="I314" s="4" t="str">
        <f t="shared" si="23"/>
        <v>Neutral</v>
      </c>
      <c r="N314" s="4">
        <v>2</v>
      </c>
      <c r="O314" s="4">
        <v>-2</v>
      </c>
    </row>
    <row r="315" spans="1:15" x14ac:dyDescent="0.25">
      <c r="A315" s="3">
        <v>46105</v>
      </c>
      <c r="B315" s="4">
        <v>70601.73</v>
      </c>
      <c r="C315" s="4">
        <v>90.89</v>
      </c>
      <c r="D315" s="5">
        <v>776.78215425239296</v>
      </c>
      <c r="E315" s="5">
        <f t="shared" si="20"/>
        <v>795.79075932169167</v>
      </c>
      <c r="F315" s="5">
        <f t="shared" si="21"/>
        <v>-19.00860506929871</v>
      </c>
      <c r="G315" s="4">
        <f t="shared" si="24"/>
        <v>14.239047523432292</v>
      </c>
      <c r="H315" s="5">
        <f t="shared" si="22"/>
        <v>-1.3349632437153862</v>
      </c>
      <c r="I315" s="4" t="str">
        <f t="shared" si="23"/>
        <v>Neutral</v>
      </c>
      <c r="N315" s="4">
        <v>2</v>
      </c>
      <c r="O315" s="4">
        <v>-2</v>
      </c>
    </row>
    <row r="316" spans="1:15" x14ac:dyDescent="0.25">
      <c r="A316" s="3">
        <v>46106</v>
      </c>
      <c r="B316" s="4">
        <v>71334.09</v>
      </c>
      <c r="C316" s="4">
        <v>91.73</v>
      </c>
      <c r="D316" s="5">
        <v>777.65278534830475</v>
      </c>
      <c r="E316" s="5">
        <f t="shared" si="20"/>
        <v>793.97078138156439</v>
      </c>
      <c r="F316" s="5">
        <f t="shared" si="21"/>
        <v>-16.317996033259647</v>
      </c>
      <c r="G316" s="4">
        <f t="shared" si="24"/>
        <v>12.838451383812361</v>
      </c>
      <c r="H316" s="5">
        <f t="shared" si="22"/>
        <v>-1.2710252619591289</v>
      </c>
      <c r="I316" s="4" t="str">
        <f t="shared" si="23"/>
        <v>Neutral</v>
      </c>
      <c r="N316" s="4">
        <v>2</v>
      </c>
      <c r="O316" s="4">
        <v>-2</v>
      </c>
    </row>
    <row r="317" spans="1:15" x14ac:dyDescent="0.25">
      <c r="A317" s="3">
        <v>46107</v>
      </c>
      <c r="B317" s="4">
        <v>68807.520000000004</v>
      </c>
      <c r="C317" s="4">
        <v>86.48</v>
      </c>
      <c r="D317" s="5">
        <v>795.64662349676223</v>
      </c>
      <c r="E317" s="5">
        <f t="shared" si="20"/>
        <v>793.55275795036584</v>
      </c>
      <c r="F317" s="5">
        <f t="shared" si="21"/>
        <v>2.0938655463963869</v>
      </c>
      <c r="G317" s="4">
        <f t="shared" si="24"/>
        <v>12.560756030992779</v>
      </c>
      <c r="H317" s="5">
        <f t="shared" si="22"/>
        <v>0.16669900611316082</v>
      </c>
      <c r="I317" s="4" t="str">
        <f t="shared" si="23"/>
        <v>Neutral</v>
      </c>
      <c r="N317" s="4">
        <v>2</v>
      </c>
      <c r="O317" s="4">
        <v>-2</v>
      </c>
    </row>
    <row r="318" spans="1:15" x14ac:dyDescent="0.25">
      <c r="A318" s="3">
        <v>46108</v>
      </c>
      <c r="B318" s="4">
        <v>66428.47</v>
      </c>
      <c r="C318" s="4">
        <v>83.08</v>
      </c>
      <c r="D318" s="5">
        <v>799.57233991333658</v>
      </c>
      <c r="E318" s="5">
        <f t="shared" si="20"/>
        <v>794.47230169778948</v>
      </c>
      <c r="F318" s="5">
        <f t="shared" si="21"/>
        <v>5.1000382155471016</v>
      </c>
      <c r="G318" s="4">
        <f t="shared" si="24"/>
        <v>11.920931827175327</v>
      </c>
      <c r="H318" s="5">
        <f t="shared" si="22"/>
        <v>0.42782211067769854</v>
      </c>
      <c r="I318" s="4" t="str">
        <f t="shared" si="23"/>
        <v>Neutral</v>
      </c>
      <c r="N318" s="4">
        <v>2</v>
      </c>
      <c r="O318" s="4">
        <v>-2</v>
      </c>
    </row>
    <row r="319" spans="1:15" x14ac:dyDescent="0.25">
      <c r="A319" s="3">
        <v>46109</v>
      </c>
      <c r="B319" s="4">
        <v>66393.38</v>
      </c>
      <c r="C319" s="4">
        <v>82.08</v>
      </c>
      <c r="D319" s="5">
        <v>808.88620857699811</v>
      </c>
      <c r="E319" s="5">
        <f t="shared" si="20"/>
        <v>795.25828715223747</v>
      </c>
      <c r="F319" s="5">
        <f t="shared" si="21"/>
        <v>13.627921424760643</v>
      </c>
      <c r="G319" s="4">
        <f t="shared" si="24"/>
        <v>12.072151062451319</v>
      </c>
      <c r="H319" s="5">
        <f t="shared" si="22"/>
        <v>1.1288726718429098</v>
      </c>
      <c r="I319" s="4" t="str">
        <f t="shared" si="23"/>
        <v>Neutral</v>
      </c>
      <c r="N319" s="4">
        <v>2</v>
      </c>
      <c r="O319" s="4">
        <v>-2</v>
      </c>
    </row>
    <row r="320" spans="1:15" x14ac:dyDescent="0.25">
      <c r="A320" s="3">
        <v>46110</v>
      </c>
      <c r="B320" s="4">
        <v>66070.33</v>
      </c>
      <c r="C320" s="4">
        <v>81.400000000000006</v>
      </c>
      <c r="D320" s="5">
        <v>811.67481572481574</v>
      </c>
      <c r="E320" s="5">
        <f t="shared" si="20"/>
        <v>795.52588144073081</v>
      </c>
      <c r="F320" s="5">
        <f t="shared" si="21"/>
        <v>16.14893428408493</v>
      </c>
      <c r="G320" s="4">
        <f t="shared" si="24"/>
        <v>12.350278553233597</v>
      </c>
      <c r="H320" s="5">
        <f t="shared" si="22"/>
        <v>1.3075765226248079</v>
      </c>
      <c r="I320" s="4" t="str">
        <f t="shared" si="23"/>
        <v>Neutral</v>
      </c>
      <c r="N320" s="4">
        <v>2</v>
      </c>
      <c r="O320" s="4">
        <v>-2</v>
      </c>
    </row>
    <row r="321" spans="1:15" x14ac:dyDescent="0.25">
      <c r="A321" s="3">
        <v>46111</v>
      </c>
      <c r="B321" s="4">
        <v>66794.149999999994</v>
      </c>
      <c r="C321" s="4">
        <v>82.55</v>
      </c>
      <c r="D321" s="5">
        <v>809.13567534827371</v>
      </c>
      <c r="E321" s="5">
        <f t="shared" si="20"/>
        <v>796.02252336712843</v>
      </c>
      <c r="F321" s="5">
        <f t="shared" si="21"/>
        <v>13.113151981145279</v>
      </c>
      <c r="G321" s="4">
        <f t="shared" si="24"/>
        <v>12.593808285651209</v>
      </c>
      <c r="H321" s="5">
        <f t="shared" si="22"/>
        <v>1.0412380182161249</v>
      </c>
      <c r="I321" s="4" t="str">
        <f t="shared" si="23"/>
        <v>Neutral</v>
      </c>
      <c r="N321" s="4">
        <v>2</v>
      </c>
      <c r="O321" s="4">
        <v>-2</v>
      </c>
    </row>
    <row r="322" spans="1:15" x14ac:dyDescent="0.25">
      <c r="A322" s="3">
        <v>46112</v>
      </c>
      <c r="B322" s="4">
        <v>68297.52</v>
      </c>
      <c r="C322" s="4">
        <v>83.17</v>
      </c>
      <c r="D322" s="5">
        <v>821.17975231453647</v>
      </c>
      <c r="E322" s="5">
        <f t="shared" si="20"/>
        <v>797.18116159493161</v>
      </c>
      <c r="F322" s="5">
        <f t="shared" si="21"/>
        <v>23.998590719604863</v>
      </c>
      <c r="G322" s="4">
        <f t="shared" si="24"/>
        <v>13.261211615548079</v>
      </c>
      <c r="H322" s="5">
        <f t="shared" si="22"/>
        <v>1.8096831130775235</v>
      </c>
      <c r="I322" s="4" t="str">
        <f t="shared" si="23"/>
        <v>Neutral</v>
      </c>
      <c r="N322" s="4">
        <v>2</v>
      </c>
      <c r="O322" s="4">
        <v>-2</v>
      </c>
    </row>
    <row r="323" spans="1:15" x14ac:dyDescent="0.25">
      <c r="A323" s="3">
        <v>46113</v>
      </c>
      <c r="B323" s="4">
        <v>68106.86</v>
      </c>
      <c r="C323" s="4">
        <v>81.13</v>
      </c>
      <c r="D323" s="5">
        <v>839.47812153334155</v>
      </c>
      <c r="E323" s="5">
        <f t="shared" si="20"/>
        <v>798.71105738478911</v>
      </c>
      <c r="F323" s="5">
        <f t="shared" si="21"/>
        <v>40.767064148552436</v>
      </c>
      <c r="G323" s="4">
        <f t="shared" si="24"/>
        <v>15.319345757834903</v>
      </c>
      <c r="H323" s="5">
        <f t="shared" si="22"/>
        <v>2.6611491634819058</v>
      </c>
      <c r="I323" s="4" t="str">
        <f t="shared" si="23"/>
        <v>BTC rich vs SOL</v>
      </c>
      <c r="N323" s="4">
        <v>2</v>
      </c>
      <c r="O323" s="4">
        <v>-2</v>
      </c>
    </row>
    <row r="324" spans="1:15" x14ac:dyDescent="0.25">
      <c r="A324" s="3">
        <v>46114</v>
      </c>
      <c r="B324" s="4">
        <v>66887.48</v>
      </c>
      <c r="C324" s="4">
        <v>78.900000000000006</v>
      </c>
      <c r="D324" s="5">
        <v>847.75006337135608</v>
      </c>
      <c r="E324" s="5">
        <f t="shared" si="20"/>
        <v>800.80286799149462</v>
      </c>
      <c r="F324" s="5">
        <f t="shared" si="21"/>
        <v>46.947195379861455</v>
      </c>
      <c r="G324" s="4">
        <f t="shared" si="24"/>
        <v>17.509832163645186</v>
      </c>
      <c r="H324" s="5">
        <f t="shared" si="22"/>
        <v>2.6811904843574479</v>
      </c>
      <c r="I324" s="4" t="str">
        <f t="shared" si="23"/>
        <v>BTC rich vs SOL</v>
      </c>
      <c r="N324" s="4">
        <v>2</v>
      </c>
      <c r="O324" s="4">
        <v>-2</v>
      </c>
    </row>
    <row r="325" spans="1:15" x14ac:dyDescent="0.25">
      <c r="A325" s="3">
        <v>46115</v>
      </c>
      <c r="B325" s="4">
        <v>66939.09</v>
      </c>
      <c r="C325" s="4">
        <v>80.22</v>
      </c>
      <c r="D325" s="5">
        <v>834.44390426327595</v>
      </c>
      <c r="E325" s="5">
        <f t="shared" si="20"/>
        <v>801.89391930030718</v>
      </c>
      <c r="F325" s="5">
        <f t="shared" si="21"/>
        <v>32.549984962968779</v>
      </c>
      <c r="G325" s="4">
        <f t="shared" si="24"/>
        <v>18.556914128729954</v>
      </c>
      <c r="H325" s="5">
        <f t="shared" si="22"/>
        <v>1.7540623800470494</v>
      </c>
      <c r="I325" s="4" t="str">
        <f t="shared" si="23"/>
        <v>Neutral</v>
      </c>
      <c r="N325" s="4">
        <v>2</v>
      </c>
      <c r="O325" s="4">
        <v>-2</v>
      </c>
    </row>
    <row r="326" spans="1:15" x14ac:dyDescent="0.25">
      <c r="A326" s="3">
        <v>46116</v>
      </c>
      <c r="B326" s="4">
        <v>67303.95</v>
      </c>
      <c r="C326" s="4">
        <v>80.78</v>
      </c>
      <c r="D326" s="5">
        <v>833.17590987868277</v>
      </c>
      <c r="E326" s="5">
        <f t="shared" si="20"/>
        <v>803.04989189539162</v>
      </c>
      <c r="F326" s="5">
        <f t="shared" si="21"/>
        <v>30.126017983291149</v>
      </c>
      <c r="G326" s="4">
        <f t="shared" si="24"/>
        <v>19.399028300765309</v>
      </c>
      <c r="H326" s="5">
        <f t="shared" si="22"/>
        <v>1.552965309200701</v>
      </c>
      <c r="I326" s="4" t="str">
        <f t="shared" si="23"/>
        <v>Neutral</v>
      </c>
      <c r="N326" s="4">
        <v>2</v>
      </c>
      <c r="O326" s="4">
        <v>-2</v>
      </c>
    </row>
    <row r="327" spans="1:15" x14ac:dyDescent="0.25">
      <c r="A327" s="3">
        <v>46117</v>
      </c>
      <c r="B327" s="4">
        <v>69007.23</v>
      </c>
      <c r="C327" s="4">
        <v>81.94</v>
      </c>
      <c r="D327" s="5">
        <v>842.16780571149616</v>
      </c>
      <c r="E327" s="5">
        <f t="shared" si="20"/>
        <v>804.30816609931605</v>
      </c>
      <c r="F327" s="5">
        <f t="shared" si="21"/>
        <v>37.859639612180104</v>
      </c>
      <c r="G327" s="4">
        <f t="shared" si="24"/>
        <v>20.673307952416657</v>
      </c>
      <c r="H327" s="5">
        <f t="shared" si="22"/>
        <v>1.8313295433571097</v>
      </c>
      <c r="I327" s="4" t="str">
        <f t="shared" si="23"/>
        <v>Neutral</v>
      </c>
      <c r="N327" s="4">
        <v>2</v>
      </c>
      <c r="O327" s="4">
        <v>-2</v>
      </c>
    </row>
    <row r="328" spans="1:15" x14ac:dyDescent="0.25">
      <c r="A328" s="3">
        <v>46118</v>
      </c>
      <c r="B328" s="4">
        <v>68878.64</v>
      </c>
      <c r="C328" s="4">
        <v>80.05</v>
      </c>
      <c r="D328" s="5">
        <v>860.44522173641474</v>
      </c>
      <c r="E328" s="5">
        <f t="shared" si="20"/>
        <v>806.03763999291402</v>
      </c>
      <c r="F328" s="5">
        <f t="shared" si="21"/>
        <v>54.407581743500714</v>
      </c>
      <c r="G328" s="4">
        <f t="shared" si="24"/>
        <v>23.07240041635426</v>
      </c>
      <c r="H328" s="5">
        <f t="shared" si="22"/>
        <v>2.3581240253153437</v>
      </c>
      <c r="I328" s="4" t="str">
        <f t="shared" si="23"/>
        <v>BTC rich vs SOL</v>
      </c>
      <c r="N328" s="4">
        <v>2</v>
      </c>
      <c r="O328" s="4">
        <v>-2</v>
      </c>
    </row>
    <row r="329" spans="1:15" x14ac:dyDescent="0.25">
      <c r="A329" s="3">
        <v>46119</v>
      </c>
      <c r="B329" s="4">
        <v>71964.45</v>
      </c>
      <c r="C329" s="4">
        <v>85.58</v>
      </c>
      <c r="D329" s="5">
        <v>840.90266417387238</v>
      </c>
      <c r="E329" s="5">
        <f t="shared" si="20"/>
        <v>807.1270406635316</v>
      </c>
      <c r="F329" s="5">
        <f t="shared" si="21"/>
        <v>33.775623510340779</v>
      </c>
      <c r="G329" s="4">
        <f t="shared" si="24"/>
        <v>23.934490160445129</v>
      </c>
      <c r="H329" s="5">
        <f t="shared" si="22"/>
        <v>1.4111695416917385</v>
      </c>
      <c r="I329" s="4" t="str">
        <f t="shared" si="23"/>
        <v>Neutral</v>
      </c>
      <c r="N329" s="4">
        <v>2</v>
      </c>
      <c r="O329" s="4">
        <v>-2</v>
      </c>
    </row>
    <row r="330" spans="1:15" x14ac:dyDescent="0.25">
      <c r="A330" s="3">
        <v>46120</v>
      </c>
      <c r="B330" s="4">
        <v>71078.16</v>
      </c>
      <c r="C330" s="4">
        <v>82.61</v>
      </c>
      <c r="D330" s="5">
        <v>860.40624621716506</v>
      </c>
      <c r="E330" s="5">
        <f t="shared" si="20"/>
        <v>808.99355475312336</v>
      </c>
      <c r="F330" s="5">
        <f t="shared" si="21"/>
        <v>51.4126914640417</v>
      </c>
      <c r="G330" s="4">
        <f t="shared" si="24"/>
        <v>25.824149631478136</v>
      </c>
      <c r="H330" s="5">
        <f t="shared" si="22"/>
        <v>1.990876454703183</v>
      </c>
      <c r="I330" s="4" t="str">
        <f t="shared" si="23"/>
        <v>Neutral</v>
      </c>
      <c r="N330" s="4">
        <v>2</v>
      </c>
      <c r="O330" s="4">
        <v>-2</v>
      </c>
    </row>
    <row r="331" spans="1:15" x14ac:dyDescent="0.25">
      <c r="A331" s="3">
        <v>46121</v>
      </c>
      <c r="B331" s="4">
        <v>71831.7</v>
      </c>
      <c r="C331" s="4">
        <v>83.32</v>
      </c>
      <c r="D331" s="5">
        <v>862.11833893422954</v>
      </c>
      <c r="E331" s="5">
        <f t="shared" si="20"/>
        <v>810.58869354734122</v>
      </c>
      <c r="F331" s="5">
        <f t="shared" si="21"/>
        <v>51.529645386888319</v>
      </c>
      <c r="G331" s="4">
        <f t="shared" si="24"/>
        <v>27.57925484956645</v>
      </c>
      <c r="H331" s="5">
        <f t="shared" si="22"/>
        <v>1.8684205091095263</v>
      </c>
      <c r="I331" s="4" t="str">
        <f t="shared" si="23"/>
        <v>Neutral</v>
      </c>
      <c r="N331" s="4">
        <v>2</v>
      </c>
      <c r="O331" s="4">
        <v>-2</v>
      </c>
    </row>
    <row r="332" spans="1:15" x14ac:dyDescent="0.25">
      <c r="A332" s="3">
        <v>46122</v>
      </c>
      <c r="B332" s="4">
        <v>72959.509999999995</v>
      </c>
      <c r="C332" s="4">
        <v>84.83</v>
      </c>
      <c r="D332" s="5">
        <v>860.06731109277371</v>
      </c>
      <c r="E332" s="5">
        <f t="shared" si="20"/>
        <v>812.23964779700805</v>
      </c>
      <c r="F332" s="5">
        <f t="shared" si="21"/>
        <v>47.82766329576566</v>
      </c>
      <c r="G332" s="4">
        <f t="shared" si="24"/>
        <v>29.02092303413388</v>
      </c>
      <c r="H332" s="5">
        <f t="shared" si="22"/>
        <v>1.6480407339046947</v>
      </c>
      <c r="I332" s="4" t="str">
        <f t="shared" si="23"/>
        <v>Neutral</v>
      </c>
      <c r="N332" s="4">
        <v>2</v>
      </c>
      <c r="O332" s="4">
        <v>-2</v>
      </c>
    </row>
    <row r="333" spans="1:15" x14ac:dyDescent="0.25">
      <c r="A333" s="3">
        <v>46123</v>
      </c>
      <c r="B333" s="4">
        <v>73052.08</v>
      </c>
      <c r="C333" s="4">
        <v>84.97</v>
      </c>
      <c r="D333" s="5">
        <v>859.73967282570322</v>
      </c>
      <c r="E333" s="5">
        <f t="shared" si="20"/>
        <v>813.83108541863351</v>
      </c>
      <c r="F333" s="5">
        <f t="shared" si="21"/>
        <v>45.908587407069717</v>
      </c>
      <c r="G333" s="4">
        <f t="shared" si="24"/>
        <v>30.288508294282277</v>
      </c>
      <c r="H333" s="5">
        <f t="shared" si="22"/>
        <v>1.5157097523926633</v>
      </c>
      <c r="I333" s="4" t="str">
        <f t="shared" si="23"/>
        <v>Neutral</v>
      </c>
      <c r="N333" s="4">
        <v>2</v>
      </c>
      <c r="O333" s="4">
        <v>-2</v>
      </c>
    </row>
    <row r="334" spans="1:15" x14ac:dyDescent="0.25">
      <c r="A334" s="3">
        <v>46124</v>
      </c>
      <c r="B334" s="4">
        <v>70726.649999999994</v>
      </c>
      <c r="C334" s="4">
        <v>81.459999999999994</v>
      </c>
      <c r="D334" s="5">
        <v>868.23778541615513</v>
      </c>
      <c r="E334" s="5">
        <f t="shared" si="20"/>
        <v>815.91470415139725</v>
      </c>
      <c r="F334" s="5">
        <f t="shared" si="21"/>
        <v>52.323081264757889</v>
      </c>
      <c r="G334" s="4">
        <f t="shared" si="24"/>
        <v>31.823122764677141</v>
      </c>
      <c r="H334" s="5">
        <f t="shared" si="22"/>
        <v>1.6441843766142015</v>
      </c>
      <c r="I334" s="4" t="str">
        <f t="shared" si="23"/>
        <v>Neutral</v>
      </c>
      <c r="N334" s="4">
        <v>2</v>
      </c>
      <c r="O334" s="4">
        <v>-2</v>
      </c>
    </row>
    <row r="335" spans="1:15" x14ac:dyDescent="0.25">
      <c r="A335" s="3">
        <v>46125</v>
      </c>
      <c r="B335" s="4">
        <v>74496.7</v>
      </c>
      <c r="C335" s="4">
        <v>86.56</v>
      </c>
      <c r="D335" s="5">
        <v>860.63655268022171</v>
      </c>
      <c r="E335" s="5">
        <f t="shared" si="20"/>
        <v>817.60714589565282</v>
      </c>
      <c r="F335" s="5">
        <f t="shared" si="21"/>
        <v>43.029406784568891</v>
      </c>
      <c r="G335" s="4">
        <f t="shared" si="24"/>
        <v>32.824568494442012</v>
      </c>
      <c r="H335" s="5">
        <f t="shared" si="22"/>
        <v>1.3108902495353383</v>
      </c>
      <c r="I335" s="4" t="str">
        <f t="shared" si="23"/>
        <v>Neutral</v>
      </c>
      <c r="N335" s="4">
        <v>2</v>
      </c>
      <c r="O335" s="4">
        <v>-2</v>
      </c>
    </row>
    <row r="336" spans="1:15" x14ac:dyDescent="0.25">
      <c r="A336" s="3">
        <v>46126</v>
      </c>
      <c r="B336" s="4">
        <v>74158.73</v>
      </c>
      <c r="C336" s="4">
        <v>83.84</v>
      </c>
      <c r="D336" s="5">
        <v>884.52683683206101</v>
      </c>
      <c r="E336" s="5">
        <f t="shared" si="20"/>
        <v>820.81843703273205</v>
      </c>
      <c r="F336" s="5">
        <f t="shared" si="21"/>
        <v>63.708399799328959</v>
      </c>
      <c r="G336" s="4">
        <f t="shared" si="24"/>
        <v>34.51611808354815</v>
      </c>
      <c r="H336" s="5">
        <f t="shared" si="22"/>
        <v>1.8457579628485248</v>
      </c>
      <c r="I336" s="4" t="str">
        <f t="shared" si="23"/>
        <v>Neutral</v>
      </c>
      <c r="N336" s="4">
        <v>2</v>
      </c>
      <c r="O336" s="4">
        <v>-2</v>
      </c>
    </row>
    <row r="337" spans="1:15" x14ac:dyDescent="0.25">
      <c r="A337" s="3">
        <v>46127</v>
      </c>
      <c r="B337" s="4">
        <v>74806.490000000005</v>
      </c>
      <c r="C337" s="4">
        <v>84.87</v>
      </c>
      <c r="D337" s="5">
        <v>881.42441380935554</v>
      </c>
      <c r="E337" s="5">
        <f t="shared" si="20"/>
        <v>824.29639348584863</v>
      </c>
      <c r="F337" s="5">
        <f t="shared" si="21"/>
        <v>57.128020323506917</v>
      </c>
      <c r="G337" s="4">
        <f t="shared" si="24"/>
        <v>35.207345573359213</v>
      </c>
      <c r="H337" s="5">
        <f t="shared" si="22"/>
        <v>1.622616513490716</v>
      </c>
      <c r="I337" s="4" t="str">
        <f t="shared" si="23"/>
        <v>Neutral</v>
      </c>
      <c r="N337" s="4">
        <v>2</v>
      </c>
      <c r="O337" s="4">
        <v>-2</v>
      </c>
    </row>
    <row r="338" spans="1:15" x14ac:dyDescent="0.25">
      <c r="A338" s="3">
        <v>46128</v>
      </c>
      <c r="B338" s="4">
        <v>75099.58</v>
      </c>
      <c r="C338" s="4">
        <v>89.05</v>
      </c>
      <c r="D338" s="5">
        <v>843.34171813587875</v>
      </c>
      <c r="E338" s="5">
        <f t="shared" si="20"/>
        <v>826.40643668492498</v>
      </c>
      <c r="F338" s="5">
        <f t="shared" si="21"/>
        <v>16.935281450953767</v>
      </c>
      <c r="G338" s="4">
        <f t="shared" si="24"/>
        <v>34.349985299211554</v>
      </c>
      <c r="H338" s="5">
        <f t="shared" si="22"/>
        <v>0.49302150505847486</v>
      </c>
      <c r="I338" s="4" t="str">
        <f t="shared" si="23"/>
        <v>Neutral</v>
      </c>
      <c r="N338" s="4">
        <v>2</v>
      </c>
      <c r="O338" s="4">
        <v>-2</v>
      </c>
    </row>
    <row r="339" spans="1:15" x14ac:dyDescent="0.25">
      <c r="A339" s="3">
        <v>46129</v>
      </c>
      <c r="B339" s="4">
        <v>77097.649999999994</v>
      </c>
      <c r="C339" s="4">
        <v>88.83</v>
      </c>
      <c r="D339" s="5">
        <v>867.92356185973199</v>
      </c>
      <c r="E339" s="5">
        <f t="shared" si="20"/>
        <v>828.94020792895651</v>
      </c>
      <c r="F339" s="5">
        <f t="shared" si="21"/>
        <v>38.983353930775479</v>
      </c>
      <c r="G339" s="4">
        <f t="shared" si="24"/>
        <v>34.520768430986024</v>
      </c>
      <c r="H339" s="5">
        <f t="shared" si="22"/>
        <v>1.1292724844382032</v>
      </c>
      <c r="I339" s="4" t="str">
        <f t="shared" si="23"/>
        <v>Neutral</v>
      </c>
      <c r="N339" s="4">
        <v>2</v>
      </c>
      <c r="O339" s="4">
        <v>-2</v>
      </c>
    </row>
    <row r="340" spans="1:15" x14ac:dyDescent="0.25">
      <c r="A340" s="3">
        <v>46130</v>
      </c>
      <c r="B340" s="4">
        <v>75714.23</v>
      </c>
      <c r="C340" s="4">
        <v>86.15</v>
      </c>
      <c r="D340" s="5">
        <v>878.86511897852574</v>
      </c>
      <c r="E340" s="5">
        <f t="shared" si="20"/>
        <v>832.00613807280013</v>
      </c>
      <c r="F340" s="5">
        <f t="shared" si="21"/>
        <v>46.858980905725616</v>
      </c>
      <c r="G340" s="4">
        <f t="shared" si="24"/>
        <v>34.740845884426335</v>
      </c>
      <c r="H340" s="5">
        <f t="shared" si="22"/>
        <v>1.3488151975807707</v>
      </c>
      <c r="I340" s="4" t="str">
        <f t="shared" si="23"/>
        <v>Neutral</v>
      </c>
      <c r="N340" s="4">
        <v>2</v>
      </c>
      <c r="O340" s="4">
        <v>-2</v>
      </c>
    </row>
    <row r="341" spans="1:15" x14ac:dyDescent="0.25">
      <c r="A341" s="3">
        <v>46131</v>
      </c>
      <c r="B341" s="4">
        <v>73793.740000000005</v>
      </c>
      <c r="C341" s="4">
        <v>83.52</v>
      </c>
      <c r="D341" s="5">
        <v>883.54573754789283</v>
      </c>
      <c r="E341" s="5">
        <f t="shared" si="20"/>
        <v>835.31950173818973</v>
      </c>
      <c r="F341" s="5">
        <f t="shared" si="21"/>
        <v>48.226235809703098</v>
      </c>
      <c r="G341" s="4">
        <f t="shared" si="24"/>
        <v>34.758843439046196</v>
      </c>
      <c r="H341" s="5">
        <f t="shared" si="22"/>
        <v>1.387452257848383</v>
      </c>
      <c r="I341" s="4" t="str">
        <f t="shared" si="23"/>
        <v>Neutral</v>
      </c>
      <c r="N341" s="4">
        <v>2</v>
      </c>
      <c r="O341" s="4">
        <v>-2</v>
      </c>
    </row>
    <row r="342" spans="1:15" x14ac:dyDescent="0.25">
      <c r="A342" s="3">
        <v>46132</v>
      </c>
      <c r="B342" s="4">
        <v>75853.48</v>
      </c>
      <c r="C342" s="4">
        <v>85.35</v>
      </c>
      <c r="D342" s="5">
        <v>888.73438781487994</v>
      </c>
      <c r="E342" s="5">
        <f t="shared" si="20"/>
        <v>838.68544651669492</v>
      </c>
      <c r="F342" s="5">
        <f t="shared" si="21"/>
        <v>50.048941298185014</v>
      </c>
      <c r="G342" s="4">
        <f t="shared" si="24"/>
        <v>34.883114568577426</v>
      </c>
      <c r="H342" s="5">
        <f t="shared" si="22"/>
        <v>1.4347612567620009</v>
      </c>
      <c r="I342" s="4" t="str">
        <f t="shared" si="23"/>
        <v>Neutral</v>
      </c>
      <c r="N342" s="4">
        <v>2</v>
      </c>
      <c r="O342" s="4">
        <v>-2</v>
      </c>
    </row>
    <row r="343" spans="1:15" x14ac:dyDescent="0.25">
      <c r="A343" s="3">
        <v>46133</v>
      </c>
      <c r="B343" s="4">
        <v>76305.279999999999</v>
      </c>
      <c r="C343" s="4">
        <v>86.02</v>
      </c>
      <c r="D343" s="5">
        <v>887.06440362706348</v>
      </c>
      <c r="E343" s="5">
        <f t="shared" si="20"/>
        <v>842.01693297796669</v>
      </c>
      <c r="F343" s="5">
        <f t="shared" si="21"/>
        <v>45.047470649096795</v>
      </c>
      <c r="G343" s="4">
        <f t="shared" si="24"/>
        <v>34.559625295715065</v>
      </c>
      <c r="H343" s="5">
        <f t="shared" si="22"/>
        <v>1.3034710377685166</v>
      </c>
      <c r="I343" s="4" t="str">
        <f t="shared" si="23"/>
        <v>Neutral</v>
      </c>
      <c r="N343" s="4">
        <v>2</v>
      </c>
      <c r="O343" s="4">
        <v>-2</v>
      </c>
    </row>
    <row r="344" spans="1:15" x14ac:dyDescent="0.25">
      <c r="A344" s="3">
        <v>46134</v>
      </c>
      <c r="B344" s="4">
        <v>78208.89</v>
      </c>
      <c r="C344" s="4">
        <v>86.99</v>
      </c>
      <c r="D344" s="5">
        <v>899.05609840211525</v>
      </c>
      <c r="E344" s="5">
        <f t="shared" si="20"/>
        <v>846.15274099392047</v>
      </c>
      <c r="F344" s="5">
        <f t="shared" si="21"/>
        <v>52.903357408194779</v>
      </c>
      <c r="G344" s="4">
        <f t="shared" si="24"/>
        <v>33.673524432360622</v>
      </c>
      <c r="H344" s="5">
        <f t="shared" si="22"/>
        <v>1.5710668336621776</v>
      </c>
      <c r="I344" s="4" t="str">
        <f t="shared" si="23"/>
        <v>Neutral</v>
      </c>
      <c r="N344" s="4">
        <v>2</v>
      </c>
      <c r="O344" s="4">
        <v>-2</v>
      </c>
    </row>
    <row r="345" spans="1:15" x14ac:dyDescent="0.25">
      <c r="A345" s="3">
        <v>46135</v>
      </c>
      <c r="B345" s="4">
        <v>78254.34</v>
      </c>
      <c r="C345" s="4">
        <v>86.14</v>
      </c>
      <c r="D345" s="5">
        <v>908.45530531692589</v>
      </c>
      <c r="E345" s="5">
        <f t="shared" si="20"/>
        <v>850.54184602940484</v>
      </c>
      <c r="F345" s="5">
        <f t="shared" si="21"/>
        <v>57.91345928752105</v>
      </c>
      <c r="G345" s="4">
        <f t="shared" si="24"/>
        <v>32.892030849741396</v>
      </c>
      <c r="H345" s="5">
        <f t="shared" si="22"/>
        <v>1.7607140024914691</v>
      </c>
      <c r="I345" s="4" t="str">
        <f t="shared" si="23"/>
        <v>Neutral</v>
      </c>
      <c r="N345" s="4">
        <v>2</v>
      </c>
      <c r="O345" s="4">
        <v>-2</v>
      </c>
    </row>
    <row r="346" spans="1:15" x14ac:dyDescent="0.25">
      <c r="A346" s="3">
        <v>46136</v>
      </c>
      <c r="B346" s="4">
        <v>77438.570000000007</v>
      </c>
      <c r="C346" s="4">
        <v>86.23</v>
      </c>
      <c r="D346" s="5">
        <v>898.04673547489278</v>
      </c>
      <c r="E346" s="5">
        <f t="shared" si="20"/>
        <v>854.55497770029115</v>
      </c>
      <c r="F346" s="5">
        <f t="shared" si="21"/>
        <v>43.491757774601638</v>
      </c>
      <c r="G346" s="4">
        <f t="shared" si="24"/>
        <v>30.981322342834943</v>
      </c>
      <c r="H346" s="5">
        <f t="shared" si="22"/>
        <v>1.4038057282813168</v>
      </c>
      <c r="I346" s="4" t="str">
        <f t="shared" si="23"/>
        <v>Neutral</v>
      </c>
      <c r="N346" s="4">
        <v>2</v>
      </c>
      <c r="O346" s="4">
        <v>-2</v>
      </c>
    </row>
    <row r="347" spans="1:15" x14ac:dyDescent="0.25">
      <c r="A347" s="3">
        <v>46137</v>
      </c>
      <c r="B347" s="4">
        <v>77610.679999999993</v>
      </c>
      <c r="C347" s="4">
        <v>86.12</v>
      </c>
      <c r="D347" s="5">
        <v>901.19228982814661</v>
      </c>
      <c r="E347" s="5">
        <f t="shared" si="20"/>
        <v>858.07316657800402</v>
      </c>
      <c r="F347" s="5">
        <f t="shared" si="21"/>
        <v>43.119123250142593</v>
      </c>
      <c r="G347" s="4">
        <f t="shared" si="24"/>
        <v>30.039596160661592</v>
      </c>
      <c r="H347" s="5">
        <f t="shared" si="22"/>
        <v>1.435409551430965</v>
      </c>
      <c r="I347" s="4" t="str">
        <f t="shared" si="23"/>
        <v>Neutral</v>
      </c>
      <c r="N347" s="4">
        <v>2</v>
      </c>
      <c r="O347" s="4">
        <v>-2</v>
      </c>
    </row>
    <row r="348" spans="1:15" x14ac:dyDescent="0.25">
      <c r="A348" s="3">
        <v>46138</v>
      </c>
      <c r="B348" s="4">
        <v>78626.16</v>
      </c>
      <c r="C348" s="4">
        <v>87.1</v>
      </c>
      <c r="D348" s="5">
        <v>902.71136624569465</v>
      </c>
      <c r="E348" s="5">
        <f t="shared" si="20"/>
        <v>861.51113412241602</v>
      </c>
      <c r="F348" s="5">
        <f t="shared" si="21"/>
        <v>41.200232123278624</v>
      </c>
      <c r="G348" s="4">
        <f t="shared" si="24"/>
        <v>28.997369863729357</v>
      </c>
      <c r="H348" s="5">
        <f t="shared" si="22"/>
        <v>1.4208265203670392</v>
      </c>
      <c r="I348" s="4" t="str">
        <f t="shared" si="23"/>
        <v>Neutral</v>
      </c>
      <c r="N348" s="4">
        <v>2</v>
      </c>
      <c r="O348" s="4">
        <v>-2</v>
      </c>
    </row>
    <row r="349" spans="1:15" x14ac:dyDescent="0.25">
      <c r="A349" s="3">
        <v>46139</v>
      </c>
      <c r="B349" s="4">
        <v>77373.7</v>
      </c>
      <c r="C349" s="4">
        <v>84.68</v>
      </c>
      <c r="D349" s="5">
        <v>913.71870571563522</v>
      </c>
      <c r="E349" s="5">
        <f t="shared" si="20"/>
        <v>865.00555069370387</v>
      </c>
      <c r="F349" s="5">
        <f t="shared" si="21"/>
        <v>48.713155021931357</v>
      </c>
      <c r="G349" s="4">
        <f t="shared" si="24"/>
        <v>28.752508519763602</v>
      </c>
      <c r="H349" s="5">
        <f t="shared" si="22"/>
        <v>1.6942227836728545</v>
      </c>
      <c r="I349" s="4" t="str">
        <f t="shared" si="23"/>
        <v>Neutral</v>
      </c>
      <c r="N349" s="4">
        <v>2</v>
      </c>
      <c r="O349" s="4">
        <v>-2</v>
      </c>
    </row>
    <row r="350" spans="1:15" x14ac:dyDescent="0.25">
      <c r="A350" s="3">
        <v>46140</v>
      </c>
      <c r="B350" s="4">
        <v>76332.320000000007</v>
      </c>
      <c r="C350" s="4">
        <v>84.01</v>
      </c>
      <c r="D350" s="5">
        <v>908.60992738959646</v>
      </c>
      <c r="E350" s="5">
        <f t="shared" si="20"/>
        <v>868.23672108252993</v>
      </c>
      <c r="F350" s="5">
        <f t="shared" si="21"/>
        <v>40.373206307066539</v>
      </c>
      <c r="G350" s="4">
        <f t="shared" si="24"/>
        <v>27.989195052832766</v>
      </c>
      <c r="H350" s="5">
        <f t="shared" si="22"/>
        <v>1.4424568563282207</v>
      </c>
      <c r="I350" s="4" t="str">
        <f t="shared" si="23"/>
        <v>Neutral</v>
      </c>
      <c r="N350" s="4">
        <v>2</v>
      </c>
      <c r="O350" s="4">
        <v>-2</v>
      </c>
    </row>
    <row r="351" spans="1:15" x14ac:dyDescent="0.25">
      <c r="A351" s="3">
        <v>46141</v>
      </c>
      <c r="B351" s="4">
        <v>75792.81</v>
      </c>
      <c r="C351" s="4">
        <v>82.96</v>
      </c>
      <c r="D351" s="5">
        <v>913.60667791706851</v>
      </c>
      <c r="E351" s="5">
        <f t="shared" si="20"/>
        <v>871.71908783482297</v>
      </c>
      <c r="F351" s="5">
        <f t="shared" si="21"/>
        <v>41.887590082245538</v>
      </c>
      <c r="G351" s="4">
        <f t="shared" si="24"/>
        <v>26.858601127861288</v>
      </c>
      <c r="H351" s="5">
        <f t="shared" si="22"/>
        <v>1.5595596316739742</v>
      </c>
      <c r="I351" s="4" t="str">
        <f t="shared" si="23"/>
        <v>Neutral</v>
      </c>
      <c r="N351" s="4">
        <v>2</v>
      </c>
      <c r="O351" s="4">
        <v>-2</v>
      </c>
    </row>
    <row r="352" spans="1:15" x14ac:dyDescent="0.25">
      <c r="A352" s="3">
        <v>46142</v>
      </c>
      <c r="B352" s="4">
        <v>76327.210000000006</v>
      </c>
      <c r="C352" s="4">
        <v>83.09</v>
      </c>
      <c r="D352" s="5">
        <v>918.60885786496578</v>
      </c>
      <c r="E352" s="5">
        <f t="shared" ref="E352:E367" si="25">AVERAGE(D323:D352)</f>
        <v>874.96672468650399</v>
      </c>
      <c r="F352" s="5">
        <f t="shared" ref="F352:F367" si="26">(D352-E352)</f>
        <v>43.642133178461791</v>
      </c>
      <c r="G352" s="4">
        <f t="shared" si="24"/>
        <v>26.423709916544251</v>
      </c>
      <c r="H352" s="5">
        <f t="shared" ref="H352:H367" si="27">(F352/G352)</f>
        <v>1.6516277735526019</v>
      </c>
      <c r="I352" s="4" t="str">
        <f t="shared" ref="I352:I367" si="28">IF(H352&gt;2, "BTC rich vs SOL", IF(H352&lt;-2,"BTC cheap vs SOL","Neutral"))</f>
        <v>Neutral</v>
      </c>
      <c r="N352" s="4">
        <v>2</v>
      </c>
      <c r="O352" s="4">
        <v>-2</v>
      </c>
    </row>
    <row r="353" spans="1:15" x14ac:dyDescent="0.25">
      <c r="A353" s="3">
        <v>46143</v>
      </c>
      <c r="B353" s="4">
        <v>78235.09</v>
      </c>
      <c r="C353" s="4">
        <v>83.7</v>
      </c>
      <c r="D353" s="5">
        <v>934.70836320191154</v>
      </c>
      <c r="E353" s="5">
        <f t="shared" si="25"/>
        <v>878.14106607545625</v>
      </c>
      <c r="F353" s="5">
        <f t="shared" si="26"/>
        <v>56.567297126455287</v>
      </c>
      <c r="G353" s="4">
        <f t="shared" ref="G353:G367" si="29">STDEV(D324:D353)</f>
        <v>27.702539437929541</v>
      </c>
      <c r="H353" s="5">
        <f t="shared" si="27"/>
        <v>2.0419534914190911</v>
      </c>
      <c r="I353" s="4" t="str">
        <f t="shared" si="28"/>
        <v>BTC rich vs SOL</v>
      </c>
      <c r="N353" s="4">
        <v>2</v>
      </c>
      <c r="O353" s="4">
        <v>-2</v>
      </c>
    </row>
    <row r="354" spans="1:15" x14ac:dyDescent="0.25">
      <c r="A354" s="3">
        <v>46144</v>
      </c>
      <c r="B354" s="4">
        <v>78674.91</v>
      </c>
      <c r="C354" s="4">
        <v>84.45</v>
      </c>
      <c r="D354" s="5">
        <v>931.61527531083482</v>
      </c>
      <c r="E354" s="5">
        <f t="shared" si="25"/>
        <v>880.93657314010557</v>
      </c>
      <c r="F354" s="5">
        <f t="shared" si="26"/>
        <v>50.678702170729252</v>
      </c>
      <c r="G354" s="4">
        <f t="shared" si="29"/>
        <v>28.741968751422391</v>
      </c>
      <c r="H354" s="5">
        <f t="shared" si="27"/>
        <v>1.763230021194051</v>
      </c>
      <c r="I354" s="4" t="str">
        <f t="shared" si="28"/>
        <v>Neutral</v>
      </c>
      <c r="N354" s="4">
        <v>2</v>
      </c>
      <c r="O354" s="4">
        <v>-2</v>
      </c>
    </row>
    <row r="355" spans="1:15" x14ac:dyDescent="0.25">
      <c r="A355" s="3">
        <v>46145</v>
      </c>
      <c r="B355" s="4">
        <v>78565.73</v>
      </c>
      <c r="C355" s="4">
        <v>83.95</v>
      </c>
      <c r="D355" s="5">
        <v>935.86337105419886</v>
      </c>
      <c r="E355" s="5">
        <f t="shared" si="25"/>
        <v>884.31722203313643</v>
      </c>
      <c r="F355" s="5">
        <f t="shared" si="26"/>
        <v>51.546149021062433</v>
      </c>
      <c r="G355" s="4">
        <f t="shared" si="29"/>
        <v>29.047786742913178</v>
      </c>
      <c r="H355" s="5">
        <f t="shared" si="27"/>
        <v>1.7745293118980296</v>
      </c>
      <c r="I355" s="4" t="str">
        <f t="shared" si="28"/>
        <v>Neutral</v>
      </c>
      <c r="N355" s="4">
        <v>2</v>
      </c>
      <c r="O355" s="4">
        <v>-2</v>
      </c>
    </row>
    <row r="356" spans="1:15" x14ac:dyDescent="0.25">
      <c r="A356" s="3">
        <v>46146</v>
      </c>
      <c r="B356" s="4">
        <v>79858.720000000001</v>
      </c>
      <c r="C356" s="4">
        <v>84.1</v>
      </c>
      <c r="D356" s="5">
        <v>949.56860879904877</v>
      </c>
      <c r="E356" s="5">
        <f t="shared" si="25"/>
        <v>888.19697866381534</v>
      </c>
      <c r="F356" s="5">
        <f t="shared" si="26"/>
        <v>61.371630135233431</v>
      </c>
      <c r="G356" s="4">
        <f t="shared" si="29"/>
        <v>29.74615468964457</v>
      </c>
      <c r="H356" s="5">
        <f t="shared" si="27"/>
        <v>2.0631786116744202</v>
      </c>
      <c r="I356" s="4" t="str">
        <f t="shared" si="28"/>
        <v>BTC rich vs SOL</v>
      </c>
      <c r="N356" s="4">
        <v>2</v>
      </c>
      <c r="O356" s="4">
        <v>-2</v>
      </c>
    </row>
    <row r="357" spans="1:15" x14ac:dyDescent="0.25">
      <c r="A357" s="3">
        <v>46147</v>
      </c>
      <c r="B357" s="4">
        <v>80933.100000000006</v>
      </c>
      <c r="C357" s="4">
        <v>86.36</v>
      </c>
      <c r="D357" s="5">
        <v>937.15956461324697</v>
      </c>
      <c r="E357" s="5">
        <f t="shared" si="25"/>
        <v>891.36337062720702</v>
      </c>
      <c r="F357" s="5">
        <f t="shared" si="26"/>
        <v>45.796193986039953</v>
      </c>
      <c r="G357" s="4">
        <f t="shared" si="29"/>
        <v>29.733324369615119</v>
      </c>
      <c r="H357" s="5">
        <f t="shared" si="27"/>
        <v>1.5402312037748358</v>
      </c>
      <c r="I357" s="4" t="str">
        <f t="shared" si="28"/>
        <v>Neutral</v>
      </c>
      <c r="N357" s="4">
        <v>2</v>
      </c>
      <c r="O357" s="4">
        <v>-2</v>
      </c>
    </row>
    <row r="358" spans="1:15" x14ac:dyDescent="0.25">
      <c r="A358" s="3">
        <v>46148</v>
      </c>
      <c r="B358" s="4">
        <v>81444.83</v>
      </c>
      <c r="C358" s="4">
        <v>89.13</v>
      </c>
      <c r="D358" s="5">
        <v>913.77572085717497</v>
      </c>
      <c r="E358" s="5">
        <f t="shared" si="25"/>
        <v>893.14105393123236</v>
      </c>
      <c r="F358" s="5">
        <f t="shared" si="26"/>
        <v>20.634666925942611</v>
      </c>
      <c r="G358" s="4">
        <f t="shared" si="29"/>
        <v>29.413592646063897</v>
      </c>
      <c r="H358" s="5">
        <f t="shared" si="27"/>
        <v>0.70153507510086244</v>
      </c>
      <c r="I358" s="4" t="str">
        <f t="shared" si="28"/>
        <v>Neutral</v>
      </c>
      <c r="N358" s="4">
        <v>2</v>
      </c>
      <c r="O358" s="4">
        <v>-2</v>
      </c>
    </row>
    <row r="359" spans="1:15" x14ac:dyDescent="0.25">
      <c r="A359" s="3">
        <v>46149</v>
      </c>
      <c r="B359" s="4">
        <v>80034.95</v>
      </c>
      <c r="C359" s="4">
        <v>88.42</v>
      </c>
      <c r="D359" s="5">
        <v>905.16794842795741</v>
      </c>
      <c r="E359" s="5">
        <f t="shared" si="25"/>
        <v>895.28323007303504</v>
      </c>
      <c r="F359" s="5">
        <f t="shared" si="26"/>
        <v>9.8847183549223701</v>
      </c>
      <c r="G359" s="4">
        <f t="shared" si="29"/>
        <v>27.772321129217584</v>
      </c>
      <c r="H359" s="5">
        <f t="shared" si="27"/>
        <v>0.35591977742628267</v>
      </c>
      <c r="I359" s="4" t="str">
        <f t="shared" si="28"/>
        <v>Neutral</v>
      </c>
      <c r="N359" s="4">
        <v>2</v>
      </c>
      <c r="O359" s="4">
        <v>-2</v>
      </c>
    </row>
    <row r="360" spans="1:15" x14ac:dyDescent="0.25">
      <c r="A360" s="3">
        <v>46150</v>
      </c>
      <c r="B360" s="4">
        <v>80205.47</v>
      </c>
      <c r="C360" s="4">
        <v>91.94</v>
      </c>
      <c r="D360" s="5">
        <v>872.36752229715034</v>
      </c>
      <c r="E360" s="5">
        <f t="shared" si="25"/>
        <v>895.68193927570121</v>
      </c>
      <c r="F360" s="5">
        <f t="shared" si="26"/>
        <v>-23.314416978550867</v>
      </c>
      <c r="G360" s="4">
        <f t="shared" si="29"/>
        <v>27.336794325197015</v>
      </c>
      <c r="H360" s="5">
        <f t="shared" si="27"/>
        <v>-0.85285848447348411</v>
      </c>
      <c r="I360" s="4" t="str">
        <f t="shared" si="28"/>
        <v>Neutral</v>
      </c>
      <c r="N360" s="4">
        <v>2</v>
      </c>
      <c r="O360" s="4">
        <v>-2</v>
      </c>
    </row>
    <row r="361" spans="1:15" x14ac:dyDescent="0.25">
      <c r="A361" s="3">
        <v>46151</v>
      </c>
      <c r="B361" s="4">
        <v>80697.78</v>
      </c>
      <c r="C361" s="4">
        <v>93.15</v>
      </c>
      <c r="D361" s="5">
        <v>866.32077294685985</v>
      </c>
      <c r="E361" s="5">
        <f t="shared" si="25"/>
        <v>895.8220204094556</v>
      </c>
      <c r="F361" s="5">
        <f t="shared" si="26"/>
        <v>-29.501247462595757</v>
      </c>
      <c r="G361" s="4">
        <f t="shared" si="29"/>
        <v>27.169127721934188</v>
      </c>
      <c r="H361" s="5">
        <f t="shared" si="27"/>
        <v>-1.0858371223592431</v>
      </c>
      <c r="I361" s="4" t="str">
        <f t="shared" si="28"/>
        <v>Neutral</v>
      </c>
      <c r="N361" s="4">
        <v>2</v>
      </c>
      <c r="O361" s="4">
        <v>-2</v>
      </c>
    </row>
    <row r="362" spans="1:15" x14ac:dyDescent="0.25">
      <c r="A362" s="3">
        <v>46152</v>
      </c>
      <c r="B362" s="4">
        <v>82154.399999999994</v>
      </c>
      <c r="C362" s="4">
        <v>96.38</v>
      </c>
      <c r="D362" s="5">
        <v>852.40091305250053</v>
      </c>
      <c r="E362" s="5">
        <f t="shared" si="25"/>
        <v>895.56647380811307</v>
      </c>
      <c r="F362" s="5">
        <f t="shared" si="26"/>
        <v>-43.165560755612546</v>
      </c>
      <c r="G362" s="4">
        <f t="shared" si="29"/>
        <v>27.550403800640773</v>
      </c>
      <c r="H362" s="5">
        <f t="shared" si="27"/>
        <v>-1.5667850485229038</v>
      </c>
      <c r="I362" s="4" t="str">
        <f t="shared" si="28"/>
        <v>Neutral</v>
      </c>
      <c r="N362" s="4">
        <v>2</v>
      </c>
      <c r="O362" s="4">
        <v>-2</v>
      </c>
    </row>
    <row r="363" spans="1:15" x14ac:dyDescent="0.25">
      <c r="A363" s="3">
        <v>46153</v>
      </c>
      <c r="B363" s="4">
        <v>81774.05</v>
      </c>
      <c r="C363" s="4">
        <v>97.45</v>
      </c>
      <c r="D363" s="5">
        <v>839.13853258081065</v>
      </c>
      <c r="E363" s="5">
        <f t="shared" si="25"/>
        <v>894.8797691332835</v>
      </c>
      <c r="F363" s="5">
        <f t="shared" si="26"/>
        <v>-55.741236552472856</v>
      </c>
      <c r="G363" s="4">
        <f t="shared" si="29"/>
        <v>28.706675735059758</v>
      </c>
      <c r="H363" s="5">
        <f t="shared" si="27"/>
        <v>-1.9417517049665041</v>
      </c>
      <c r="I363" s="4" t="str">
        <f t="shared" si="28"/>
        <v>Neutral</v>
      </c>
      <c r="N363" s="4">
        <v>2</v>
      </c>
      <c r="O363" s="4">
        <v>-2</v>
      </c>
    </row>
    <row r="364" spans="1:15" x14ac:dyDescent="0.25">
      <c r="A364" s="3">
        <v>46154</v>
      </c>
      <c r="B364" s="4">
        <v>80483.199999999997</v>
      </c>
      <c r="C364" s="4">
        <v>94.32</v>
      </c>
      <c r="D364" s="5">
        <v>853.29940627650558</v>
      </c>
      <c r="E364" s="5">
        <f t="shared" si="25"/>
        <v>894.38182316196173</v>
      </c>
      <c r="F364" s="5">
        <f t="shared" si="26"/>
        <v>-41.082416885456155</v>
      </c>
      <c r="G364" s="4">
        <f t="shared" si="29"/>
        <v>29.308005552317255</v>
      </c>
      <c r="H364" s="5">
        <f t="shared" si="27"/>
        <v>-1.4017472738675645</v>
      </c>
      <c r="I364" s="4" t="str">
        <f t="shared" si="28"/>
        <v>Neutral</v>
      </c>
      <c r="N364" s="4">
        <v>2</v>
      </c>
      <c r="O364" s="4">
        <v>-2</v>
      </c>
    </row>
    <row r="365" spans="1:15" x14ac:dyDescent="0.25">
      <c r="A365" s="3">
        <v>46155</v>
      </c>
      <c r="B365" s="4">
        <v>79329.710000000006</v>
      </c>
      <c r="C365" s="4">
        <v>91.16</v>
      </c>
      <c r="D365" s="5">
        <v>870.22498903027656</v>
      </c>
      <c r="E365" s="5">
        <f t="shared" si="25"/>
        <v>894.70143770696347</v>
      </c>
      <c r="F365" s="5">
        <f t="shared" si="26"/>
        <v>-24.476448676686914</v>
      </c>
      <c r="G365" s="4">
        <f t="shared" si="29"/>
        <v>28.977732976845708</v>
      </c>
      <c r="H365" s="5">
        <f t="shared" si="27"/>
        <v>-0.84466402862654966</v>
      </c>
      <c r="I365" s="4" t="str">
        <f t="shared" si="28"/>
        <v>Neutral</v>
      </c>
      <c r="N365" s="4">
        <v>2</v>
      </c>
      <c r="O365" s="4">
        <v>-2</v>
      </c>
    </row>
    <row r="366" spans="1:15" x14ac:dyDescent="0.25">
      <c r="A366" s="3">
        <v>46156</v>
      </c>
      <c r="B366" s="4">
        <v>81077.62</v>
      </c>
      <c r="C366" s="4">
        <v>92.17</v>
      </c>
      <c r="D366" s="5">
        <v>879.65303244005634</v>
      </c>
      <c r="E366" s="5">
        <f t="shared" si="25"/>
        <v>894.53897756056335</v>
      </c>
      <c r="F366" s="5">
        <f t="shared" si="26"/>
        <v>-14.885945120507017</v>
      </c>
      <c r="G366" s="4">
        <f t="shared" si="29"/>
        <v>29.050313930870796</v>
      </c>
      <c r="H366" s="5">
        <f t="shared" si="27"/>
        <v>-0.51241942362241466</v>
      </c>
      <c r="I366" s="4" t="str">
        <f t="shared" si="28"/>
        <v>Neutral</v>
      </c>
      <c r="N366" s="4">
        <v>2</v>
      </c>
      <c r="O366" s="4">
        <v>-2</v>
      </c>
    </row>
    <row r="367" spans="1:15" x14ac:dyDescent="0.25">
      <c r="A367" s="3">
        <v>46157</v>
      </c>
      <c r="B367" s="4">
        <v>79417.649999999994</v>
      </c>
      <c r="C367" s="4">
        <v>89.84</v>
      </c>
      <c r="D367" s="5">
        <v>883.98987088156719</v>
      </c>
      <c r="E367" s="5">
        <f t="shared" si="25"/>
        <v>894.62449279630368</v>
      </c>
      <c r="F367" s="5">
        <f t="shared" si="26"/>
        <v>-10.634621914736499</v>
      </c>
      <c r="G367" s="4">
        <f t="shared" si="29"/>
        <v>29.014130878648068</v>
      </c>
      <c r="H367" s="5">
        <f t="shared" si="27"/>
        <v>-0.36653249960220852</v>
      </c>
      <c r="I367" s="4" t="str">
        <f t="shared" si="28"/>
        <v>Neutral</v>
      </c>
      <c r="N367" s="4">
        <v>2</v>
      </c>
      <c r="O367" s="4">
        <v>-2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FA499E-8CF7-D24D-88A1-50DACEF90F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tbl_btc_daily</vt:lpstr>
      <vt:lpstr>tbl_sol_daily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baris</dc:creator>
  <cp:lastModifiedBy>baris</cp:lastModifiedBy>
  <dcterms:created xsi:type="dcterms:W3CDTF">2026-05-15T17:32:05Z</dcterms:created>
  <dcterms:modified xsi:type="dcterms:W3CDTF">2026-05-23T15:06:46Z</dcterms:modified>
</cp:coreProperties>
</file>